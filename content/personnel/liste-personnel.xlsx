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montreal-my.sharepoint.com/personal/stephanie_hainault_umontreal_ca/Documents/Bureau/"/>
    </mc:Choice>
  </mc:AlternateContent>
  <xr:revisionPtr revIDLastSave="0" documentId="8_{FB92E9F1-9127-4C15-8796-EDA6DAA0177E}" xr6:coauthVersionLast="47" xr6:coauthVersionMax="47" xr10:uidLastSave="{00000000-0000-0000-0000-000000000000}"/>
  <bookViews>
    <workbookView xWindow="-108" yWindow="-108" windowWidth="23256" windowHeight="13896" tabRatio="1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122" i="1"/>
  <c r="J65" i="1"/>
  <c r="J16" i="1"/>
  <c r="J31" i="1" l="1"/>
  <c r="J103" i="1" l="1"/>
  <c r="J83" i="1"/>
  <c r="J40" i="1" l="1"/>
  <c r="J5" i="1"/>
  <c r="J78" i="1"/>
  <c r="J117" i="1"/>
  <c r="J23" i="1"/>
  <c r="J141" i="1"/>
  <c r="J121" i="1"/>
  <c r="J35" i="1"/>
  <c r="J74" i="1"/>
  <c r="J70" i="1"/>
  <c r="J67" i="1"/>
  <c r="J14" i="1"/>
  <c r="J21" i="1"/>
  <c r="J144" i="1" l="1"/>
  <c r="J33" i="1" l="1"/>
  <c r="J55" i="1" l="1"/>
  <c r="J129" i="1" l="1"/>
  <c r="J39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6" i="1"/>
  <c r="J57" i="1"/>
  <c r="J58" i="1"/>
  <c r="J59" i="1"/>
  <c r="J60" i="1"/>
  <c r="J61" i="1"/>
  <c r="J62" i="1"/>
  <c r="J64" i="1"/>
  <c r="J63" i="1"/>
  <c r="J66" i="1"/>
  <c r="J68" i="1"/>
  <c r="J69" i="1"/>
  <c r="J71" i="1"/>
  <c r="J72" i="1"/>
  <c r="J73" i="1"/>
  <c r="J75" i="1"/>
  <c r="J76" i="1"/>
  <c r="J77" i="1"/>
  <c r="J79" i="1"/>
  <c r="J80" i="1"/>
  <c r="J81" i="1"/>
  <c r="J82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4" i="1"/>
  <c r="J105" i="1"/>
  <c r="J106" i="1"/>
  <c r="J107" i="1"/>
  <c r="J108" i="1"/>
  <c r="J109" i="1"/>
  <c r="J111" i="1"/>
  <c r="J110" i="1"/>
  <c r="J112" i="1"/>
  <c r="J113" i="1"/>
  <c r="J114" i="1"/>
  <c r="J115" i="1"/>
  <c r="J116" i="1"/>
  <c r="J118" i="1"/>
  <c r="J119" i="1"/>
  <c r="J120" i="1"/>
  <c r="J123" i="1"/>
  <c r="J124" i="1"/>
  <c r="J125" i="1"/>
  <c r="J126" i="1"/>
  <c r="J127" i="1"/>
  <c r="J128" i="1"/>
  <c r="J130" i="1"/>
  <c r="J131" i="1"/>
  <c r="J132" i="1"/>
  <c r="J133" i="1"/>
  <c r="J134" i="1"/>
  <c r="J136" i="1"/>
  <c r="J135" i="1"/>
  <c r="J137" i="1"/>
  <c r="J138" i="1"/>
  <c r="J139" i="1"/>
  <c r="J140" i="1"/>
  <c r="J142" i="1"/>
  <c r="J143" i="1"/>
  <c r="J4" i="1"/>
  <c r="J6" i="1"/>
  <c r="J7" i="1"/>
  <c r="J8" i="1"/>
  <c r="J9" i="1"/>
  <c r="J10" i="1"/>
  <c r="J11" i="1"/>
  <c r="J12" i="1"/>
  <c r="J13" i="1"/>
  <c r="J15" i="1"/>
  <c r="J17" i="1"/>
  <c r="J18" i="1"/>
  <c r="J20" i="1"/>
  <c r="J19" i="1"/>
  <c r="J22" i="1"/>
  <c r="J24" i="1"/>
  <c r="J25" i="1"/>
  <c r="J26" i="1"/>
  <c r="J27" i="1"/>
  <c r="J28" i="1"/>
  <c r="J29" i="1"/>
  <c r="J30" i="1"/>
  <c r="J32" i="1"/>
  <c r="J34" i="1"/>
  <c r="J36" i="1"/>
  <c r="J37" i="1"/>
  <c r="J38" i="1"/>
  <c r="J3" i="1"/>
</calcChain>
</file>

<file path=xl/sharedStrings.xml><?xml version="1.0" encoding="utf-8"?>
<sst xmlns="http://schemas.openxmlformats.org/spreadsheetml/2006/main" count="1096" uniqueCount="762">
  <si>
    <t>nom</t>
  </si>
  <si>
    <t>prenom</t>
  </si>
  <si>
    <t>photo</t>
  </si>
  <si>
    <t>fonction</t>
  </si>
  <si>
    <t>direction</t>
  </si>
  <si>
    <t>disciplines</t>
  </si>
  <si>
    <t>bibliotheque</t>
  </si>
  <si>
    <t>telephone</t>
  </si>
  <si>
    <t>courriel</t>
  </si>
  <si>
    <t>teams</t>
  </si>
  <si>
    <t>Amar-Zifkin</t>
  </si>
  <si>
    <t>Alexandre</t>
  </si>
  <si>
    <t>alexandre-amar-zifkin.jpg</t>
  </si>
  <si>
    <t>Bibliothécaire disciplinaire</t>
  </si>
  <si>
    <t>Ophtalmologie, optométrie, neurosciences, sciences de la vision</t>
  </si>
  <si>
    <t>Bibliothèque de la santé</t>
  </si>
  <si>
    <t>514 343-6111, poste 3585</t>
  </si>
  <si>
    <t>alexandre.amar-zifkin@umontreal.ca</t>
  </si>
  <si>
    <t>Angers</t>
  </si>
  <si>
    <t>Viviane</t>
  </si>
  <si>
    <t>viviane-angers.jpg</t>
  </si>
  <si>
    <t>Bibliothèque du campus de l'UdeM à Laval</t>
  </si>
  <si>
    <t>514 343-6111, poste 45163</t>
  </si>
  <si>
    <t>viviane.angers@umontreal.ca</t>
  </si>
  <si>
    <t>Arsa</t>
  </si>
  <si>
    <t>Nadège</t>
  </si>
  <si>
    <t>nadege-arsa.jpg</t>
  </si>
  <si>
    <t>Bibliothécaire</t>
  </si>
  <si>
    <t>Collections</t>
  </si>
  <si>
    <t>Bibliothèque des lettres et sciences humaines</t>
  </si>
  <si>
    <t>514 343-6111, poste 2612</t>
  </si>
  <si>
    <t>nadege.arsa@bib.umontreal.ca</t>
  </si>
  <si>
    <t>Arvisais</t>
  </si>
  <si>
    <t>Denis</t>
  </si>
  <si>
    <t>denis-arvisais.jpg</t>
  </si>
  <si>
    <t>Études médicales postdoctorales (programmes de résidence), éducation physique et à la santé, kinésiologie</t>
  </si>
  <si>
    <t>514 343-6111, poste 4696</t>
  </si>
  <si>
    <t>denis.arvisais@umontreal.ca</t>
  </si>
  <si>
    <t>Attia</t>
  </si>
  <si>
    <t>Audrey</t>
  </si>
  <si>
    <t>audrey-attia.jpg</t>
  </si>
  <si>
    <t>Soutien à la recherche et à l’enseignement</t>
  </si>
  <si>
    <t>514 343-6111, poste 1707</t>
  </si>
  <si>
    <t>audrey.attia@umontreal.ca</t>
  </si>
  <si>
    <t>Audet</t>
  </si>
  <si>
    <t>Monica</t>
  </si>
  <si>
    <t>monica-audet.jpg</t>
  </si>
  <si>
    <t>514 343-6111, poste 45160</t>
  </si>
  <si>
    <t>Bastien</t>
  </si>
  <si>
    <t>Valérie</t>
  </si>
  <si>
    <t>valerie-bastien.jpg</t>
  </si>
  <si>
    <t>Sciences de l’éducation, didacthèque, didactique, littérature jeunesse</t>
  </si>
  <si>
    <t>Bibliothèque Thérèse-Gouin-Décarie</t>
  </si>
  <si>
    <t>514 343-6111, poste 1746</t>
  </si>
  <si>
    <t>valerie.bastien@umontreal.ca</t>
  </si>
  <si>
    <t>Beaudoin</t>
  </si>
  <si>
    <t>Magalie</t>
  </si>
  <si>
    <t>Responsable ressources financières et matérielles</t>
  </si>
  <si>
    <t>Direction des services administratifs</t>
  </si>
  <si>
    <t>Ressources financières  et matérielles</t>
  </si>
  <si>
    <t>514 343-6111, poste 8740</t>
  </si>
  <si>
    <t>magalie.beaudoin@umontreal.ca</t>
  </si>
  <si>
    <t>Beaulieu</t>
  </si>
  <si>
    <t>Maryna</t>
  </si>
  <si>
    <t>maryna-beaulieu.jpg</t>
  </si>
  <si>
    <t>Direction de la Bibliothèque des  lettres et sciences humaines et  Livres rares et collections spéciales</t>
  </si>
  <si>
    <t>514 343-6111, poste 2644</t>
  </si>
  <si>
    <t>maryna.beaulieu@umontreal.ca</t>
  </si>
  <si>
    <t>Bégin-Poissant</t>
  </si>
  <si>
    <t>Direction des collections, du traitement documentaire et des métadonnées</t>
  </si>
  <si>
    <t>Projets numériques et numérisation</t>
  </si>
  <si>
    <t>514 343-6111, poste 0994</t>
  </si>
  <si>
    <t>audrey.begin-poissant@umontreal.ca</t>
  </si>
  <si>
    <t>Bélanger</t>
  </si>
  <si>
    <t>Christian</t>
  </si>
  <si>
    <t>christian-belanger.jpg</t>
  </si>
  <si>
    <t>Direction de la recherche et des initiatives numériques</t>
  </si>
  <si>
    <t>Expérience numérique en bibliothèque</t>
  </si>
  <si>
    <t>514 343-1631</t>
  </si>
  <si>
    <t>christian.belanger@umontreal.ca</t>
  </si>
  <si>
    <t>Bergeron</t>
  </si>
  <si>
    <t>Amy</t>
  </si>
  <si>
    <t>amy-bergeron.jpg</t>
  </si>
  <si>
    <t>514-343-6111, poste 0865</t>
  </si>
  <si>
    <t>amy.bergeron@umontreal.ca</t>
  </si>
  <si>
    <t>Bernard</t>
  </si>
  <si>
    <t>Amélie</t>
  </si>
  <si>
    <t>Bibliothèque de droit</t>
  </si>
  <si>
    <t>514 343-6111, poste 4313</t>
  </si>
  <si>
    <t>amelie.bernard@umontreal.ca</t>
  </si>
  <si>
    <t>Bernier</t>
  </si>
  <si>
    <t>Hugo</t>
  </si>
  <si>
    <t>Expérience numérique en recherche</t>
  </si>
  <si>
    <t>Recherche et communication savante</t>
  </si>
  <si>
    <t>hugo.bernier@umontreal.ca</t>
  </si>
  <si>
    <t>Marie-France</t>
  </si>
  <si>
    <t>514 343-6111 #5155</t>
  </si>
  <si>
    <t>marie-france.bernier@umontreal.ca</t>
  </si>
  <si>
    <t>Blais Longtin</t>
  </si>
  <si>
    <t>Simon</t>
  </si>
  <si>
    <t>simon-blais-longtin.jpg</t>
  </si>
  <si>
    <t xml:space="preserve">Bibliothécaire </t>
  </si>
  <si>
    <t>Soutien à utilisation de l'intelligence artificielle générative</t>
  </si>
  <si>
    <t>simon.blais.longtin@umontreal.ca</t>
  </si>
  <si>
    <t>Bobeica Talpa</t>
  </si>
  <si>
    <t>Tatiana</t>
  </si>
  <si>
    <t>tatiana-bobeica-talpa.jpg</t>
  </si>
  <si>
    <t>Médecine dentaire, biochimie et médecine moléculaire, microbiologie et immunologie</t>
  </si>
  <si>
    <t>514 343-6111, poste 3580</t>
  </si>
  <si>
    <t>tatiana.talpa@umontreal.ca</t>
  </si>
  <si>
    <t>Bodnar</t>
  </si>
  <si>
    <t>Joanna</t>
  </si>
  <si>
    <t>514 343-2080</t>
  </si>
  <si>
    <t>joanna.bodnar@umontreal.ca</t>
  </si>
  <si>
    <t>Borsi</t>
  </si>
  <si>
    <t>Alain</t>
  </si>
  <si>
    <t>alain-borsi.jpg</t>
  </si>
  <si>
    <t>Direction des bibliothèques des sciences de la santé et des bibliothèques scientifiques</t>
  </si>
  <si>
    <t>Bibliothèque de médecine vétérinaire;Bibliothèque Hubert-Reeves;Bibliothèque de kinésiologie;Bibliothèque Marguerite-d'Youville;Bibliothèque du Parc;Bibliothèque de la santé;Bibliothèque de mathématiques et informatiques</t>
  </si>
  <si>
    <t>514 343-7810</t>
  </si>
  <si>
    <t>alain.borsi@umontreal.ca</t>
  </si>
  <si>
    <t>Bouchard</t>
  </si>
  <si>
    <t>Éric</t>
  </si>
  <si>
    <t>eric-bouchard.jpg</t>
  </si>
  <si>
    <t>Livres rares et collections spéciales</t>
  </si>
  <si>
    <t>Bibliothèque des livres rares et collections spéciales</t>
  </si>
  <si>
    <t>514 343-6111, poste 1013</t>
  </si>
  <si>
    <t>eric.p.bouchard@umontreal.ca</t>
  </si>
  <si>
    <t>Bouhlal</t>
  </si>
  <si>
    <t>Sara</t>
  </si>
  <si>
    <t>sara-bouhlal.jpg</t>
  </si>
  <si>
    <t>Droit</t>
  </si>
  <si>
    <t>514 343-6111, poste 4309</t>
  </si>
  <si>
    <t>refdroi@bib.umontreal.ca</t>
  </si>
  <si>
    <t>Boyer</t>
  </si>
  <si>
    <t>Myriam</t>
  </si>
  <si>
    <t>514 343-6111, poste 13788</t>
  </si>
  <si>
    <t>myriam.boyer@umontreal.ca</t>
  </si>
  <si>
    <t>Brazeau</t>
  </si>
  <si>
    <t>Guylaine</t>
  </si>
  <si>
    <t>514 343-6111, poste 42680</t>
  </si>
  <si>
    <t>guylaine.brazeau@umontreal.ca</t>
  </si>
  <si>
    <t>Brisebois</t>
  </si>
  <si>
    <t>Sophie</t>
  </si>
  <si>
    <t>sophie-brisebois.jpg</t>
  </si>
  <si>
    <t>514 343-6111, poste 8733</t>
  </si>
  <si>
    <t>sophie.brisebois@umontreal.ca</t>
  </si>
  <si>
    <t>C. Brochu</t>
  </si>
  <si>
    <t>Fanny</t>
  </si>
  <si>
    <t>514 343-6111, poste 2640</t>
  </si>
  <si>
    <t>fanny.c.brochu@umontreal.ca</t>
  </si>
  <si>
    <t>Cado</t>
  </si>
  <si>
    <t>Delphine</t>
  </si>
  <si>
    <t>BIbliothécaire</t>
  </si>
  <si>
    <t>Bibliothèque Marguerite-d'Youville</t>
  </si>
  <si>
    <t>514-343-6111, poste 1845</t>
  </si>
  <si>
    <t>delphine.cado@umontreal.ca</t>
  </si>
  <si>
    <t>Chao</t>
  </si>
  <si>
    <t>Siv Kham</t>
  </si>
  <si>
    <t>Bibliothèque de kinésiologie</t>
  </si>
  <si>
    <t>514 343-6111, poste 3792</t>
  </si>
  <si>
    <t>siv.kham.chao@umontreal.ca</t>
  </si>
  <si>
    <t>Charest</t>
  </si>
  <si>
    <t>Laurence</t>
  </si>
  <si>
    <t>laurence-charest.jpg</t>
  </si>
  <si>
    <t>Papyrus</t>
  </si>
  <si>
    <t>Traitement documentaire et métadonnées</t>
  </si>
  <si>
    <t>laurence.charest@umontreal.ca</t>
  </si>
  <si>
    <t>Noémie</t>
  </si>
  <si>
    <t>Charette</t>
  </si>
  <si>
    <t>Annick</t>
  </si>
  <si>
    <t>514 343-6111, poste 3574</t>
  </si>
  <si>
    <t>annick.charette@umontreal.ca</t>
  </si>
  <si>
    <t>Che-Quang</t>
  </si>
  <si>
    <t>Thien-Huong</t>
  </si>
  <si>
    <t>Cherrier</t>
  </si>
  <si>
    <t>Sarah</t>
  </si>
  <si>
    <t>sarah-cherrier.jpg</t>
  </si>
  <si>
    <t>Audiologie, ergothérapie, orthophonie, physiothérapie, sciences de la réadaptation</t>
  </si>
  <si>
    <t>514 343-6111, poste 1847</t>
  </si>
  <si>
    <t>sarah.cherrier@umontreal.ca</t>
  </si>
  <si>
    <t>Chouchane</t>
  </si>
  <si>
    <t>Emir</t>
  </si>
  <si>
    <t>emir-chouchane.jpg</t>
  </si>
  <si>
    <t>Médiation technologique</t>
  </si>
  <si>
    <t>514 343-6111, poste 48343</t>
  </si>
  <si>
    <t>emir.chouchane@umontreal.ca</t>
  </si>
  <si>
    <t>Constantin-D’Amour</t>
  </si>
  <si>
    <t>François</t>
  </si>
  <si>
    <t>Service Accessibilité</t>
  </si>
  <si>
    <t>514 343-2135</t>
  </si>
  <si>
    <t>accessibilite@bib.umontreal.ca</t>
  </si>
  <si>
    <t>Constantineau</t>
  </si>
  <si>
    <t>Benjamin</t>
  </si>
  <si>
    <t>benjamin-constantineau.jpg</t>
  </si>
  <si>
    <t>Direction des bibliothèques des  sciences de la santé et des  bibliothèques scientifiques</t>
  </si>
  <si>
    <t>Circulation, gestion des collections  et des espaces;Création numérique</t>
  </si>
  <si>
    <t>514 343-6111, poste 3570</t>
  </si>
  <si>
    <t>benjamin.constantineau@umontreal.ca</t>
  </si>
  <si>
    <t>Crevier</t>
  </si>
  <si>
    <t>Simon-Pierre</t>
  </si>
  <si>
    <t>simon-pierre-crevier.jpg</t>
  </si>
  <si>
    <t>Santé publique, santé environnementale et santé au travail, administration des services de santé et nutrition</t>
  </si>
  <si>
    <t>514 343-6111, poste 2515</t>
  </si>
  <si>
    <t>simon-pierre.crevier@umontreal.ca</t>
  </si>
  <si>
    <t>Croteau</t>
  </si>
  <si>
    <t>Marc-Olivier</t>
  </si>
  <si>
    <t>514 343-6111, poste 1702</t>
  </si>
  <si>
    <t>marc-olivier.croteau@umontreal.ca</t>
  </si>
  <si>
    <t>Dalpé</t>
  </si>
  <si>
    <t>Émilie</t>
  </si>
  <si>
    <t>emilie-dalpe.jpg</t>
  </si>
  <si>
    <t>Littératures de langue française, Littératures et langues du monde, Littérature comparée, Études anglaises, Études allemandes, Études hispaniques</t>
  </si>
  <si>
    <t>514 343-6111, poste 2628</t>
  </si>
  <si>
    <t>emilie.dalpe@umontreal.ca</t>
  </si>
  <si>
    <t>De Bellefeuille</t>
  </si>
  <si>
    <t>Morgane</t>
  </si>
  <si>
    <t>morgane-de-bellefeuille.jpg</t>
  </si>
  <si>
    <t>Direction de l'engagement et de l'innovation sociale</t>
  </si>
  <si>
    <t xml:space="preserve">Direction adjointe </t>
  </si>
  <si>
    <t>514-343-6111, poste 8770</t>
  </si>
  <si>
    <t>morgane.de.bellefeuille@umontreal.ca</t>
  </si>
  <si>
    <t>Delsart</t>
  </si>
  <si>
    <t>Indiana</t>
  </si>
  <si>
    <t>indiana-delsart.jpg</t>
  </si>
  <si>
    <t>Mathématiques, informatique, actuariat, statistique, physique</t>
  </si>
  <si>
    <t>514 343-6111, poste 1492</t>
  </si>
  <si>
    <t>Indiana.delsart@umontreal.ca</t>
  </si>
  <si>
    <t>Desaulniers</t>
  </si>
  <si>
    <t>Dominic</t>
  </si>
  <si>
    <t>dominic-desaulniers.jpg</t>
  </si>
  <si>
    <t>Psychologie, psychoéducation, intervention auprès des jeunes, intervention en déficience intellectuelle et en TSA</t>
  </si>
  <si>
    <t>514 343-6111, poste 3156</t>
  </si>
  <si>
    <t>dominic.desaulniers@umontreal.ca</t>
  </si>
  <si>
    <t>Desrosiers</t>
  </si>
  <si>
    <t>Chantal</t>
  </si>
  <si>
    <t>Direction générale</t>
  </si>
  <si>
    <t>514 343-6905</t>
  </si>
  <si>
    <t>chantal.desrosiers@umontreal.ca</t>
  </si>
  <si>
    <t>Dubois Mercier</t>
  </si>
  <si>
    <t>Anne</t>
  </si>
  <si>
    <t>514 343-6111, poste 2653</t>
  </si>
  <si>
    <t>anne.dubois.mercier@umontreal.ca</t>
  </si>
  <si>
    <t>Durnin</t>
  </si>
  <si>
    <t>Jean-François</t>
  </si>
  <si>
    <t>jean-francois-durnin.jpg</t>
  </si>
  <si>
    <t>Sciences de l'éducation</t>
  </si>
  <si>
    <t>514 343-6111, poste 0868</t>
  </si>
  <si>
    <t>jean-francois.durnin@umontreal.ca</t>
  </si>
  <si>
    <t>Fafard-Larose</t>
  </si>
  <si>
    <t>Judith</t>
  </si>
  <si>
    <t>514 343-6111, poste 4158</t>
  </si>
  <si>
    <t>judith.fafard-larose@umontreal.ca</t>
  </si>
  <si>
    <t>Fontaine</t>
  </si>
  <si>
    <t>Sylvie</t>
  </si>
  <si>
    <t>sylvie-fontaine.jpg</t>
  </si>
  <si>
    <t>514 343-6111, poste 38453</t>
  </si>
  <si>
    <t>sylvie.fontaine.1@umontreal.ca</t>
  </si>
  <si>
    <t>Fortier</t>
  </si>
  <si>
    <t>Catherine</t>
  </si>
  <si>
    <t>catherine-fortier.jpg</t>
  </si>
  <si>
    <t>Direction de la Bibliothèque des lettres et sciences humaines et Livres rares et collections spéciales</t>
  </si>
  <si>
    <t>514 343-6111, poste 2635</t>
  </si>
  <si>
    <t>c.fortier@umontreal.ca</t>
  </si>
  <si>
    <t>Frimu</t>
  </si>
  <si>
    <t>Mariana</t>
  </si>
  <si>
    <t>Responsable</t>
  </si>
  <si>
    <t>Bibliothèque du Parc</t>
  </si>
  <si>
    <t>514 343-6111, poste 39833</t>
  </si>
  <si>
    <t>7077duParc@bib.umontreal.ca</t>
  </si>
  <si>
    <t>Gabrielli</t>
  </si>
  <si>
    <t>Nino</t>
  </si>
  <si>
    <t>nino-gabrielli.jpg</t>
  </si>
  <si>
    <t>Philosophie, Études religieuses, Études classiques, Études médiévales, Études asiatiques</t>
  </si>
  <si>
    <t>514 343-6111, poste 2627</t>
  </si>
  <si>
    <t>nino.gabrielli@umontreal.ca</t>
  </si>
  <si>
    <t>Gadoua</t>
  </si>
  <si>
    <t>Marie-Pierre</t>
  </si>
  <si>
    <t>Engagement et innovation sociale</t>
  </si>
  <si>
    <t>marie-pierre.gadoua@umontreal.ca</t>
  </si>
  <si>
    <t>Gagné</t>
  </si>
  <si>
    <t>Cynthia</t>
  </si>
  <si>
    <t>cynthia-gagne.jpg</t>
  </si>
  <si>
    <t>Sciences biologiques, chimie</t>
  </si>
  <si>
    <t>Bibliothèque Hubert-Reeves</t>
  </si>
  <si>
    <t>514 343-6111, poste 48342</t>
  </si>
  <si>
    <t>cynthia.gagne.2@umontreal.ca</t>
  </si>
  <si>
    <t>Gagnon</t>
  </si>
  <si>
    <t>Stéphanie</t>
  </si>
  <si>
    <t>stephanie-gagnon.jpg</t>
  </si>
  <si>
    <t>stephanie.gagnon@umontreal.ca</t>
  </si>
  <si>
    <t>Diane</t>
  </si>
  <si>
    <t>diane.gagnon@umontreal.ca</t>
  </si>
  <si>
    <t>Gauchier</t>
  </si>
  <si>
    <t>Marjorie</t>
  </si>
  <si>
    <t>marjorie-gauchier.jpg</t>
  </si>
  <si>
    <t>Droit d'auteur</t>
  </si>
  <si>
    <t>514 343-6111, poste 33198</t>
  </si>
  <si>
    <t>marjorie.gauchier@umontreal.ca</t>
  </si>
  <si>
    <t>Gervais</t>
  </si>
  <si>
    <t>Bibliothèque de médecine vétérinaire</t>
  </si>
  <si>
    <t>noemie.gervais@umontreal.ca</t>
  </si>
  <si>
    <t>Giguère</t>
  </si>
  <si>
    <t>Isabelle</t>
  </si>
  <si>
    <t>Dépôt de données de recherche Borealis</t>
  </si>
  <si>
    <t>Infrastructure de recherche</t>
  </si>
  <si>
    <t>514-343-2080</t>
  </si>
  <si>
    <t>Hakier</t>
  </si>
  <si>
    <t>anne-hakier.jpg</t>
  </si>
  <si>
    <t>Géographie, données géospatiales</t>
  </si>
  <si>
    <t>514 343-6111, poste 2629</t>
  </si>
  <si>
    <t>anne.hakier@umontreal.ca</t>
  </si>
  <si>
    <t>Henriquez</t>
  </si>
  <si>
    <t>Rose Carine</t>
  </si>
  <si>
    <t>rose-carine-henriquez.jpg</t>
  </si>
  <si>
    <t>Référence et offre pédagogique de première ligne, français langue seconde</t>
  </si>
  <si>
    <t>514 343-6111, poste 2626</t>
  </si>
  <si>
    <t>rose.carine.henriquez@umontreal.ca</t>
  </si>
  <si>
    <t>Hoàng</t>
  </si>
  <si>
    <t>Thiên Sa</t>
  </si>
  <si>
    <t>thien-sa-hoang.jpg</t>
  </si>
  <si>
    <t>Pharmacie et pharmacologie, sciences biopharmaceutique</t>
  </si>
  <si>
    <t>514 343-6111, poste 3577</t>
  </si>
  <si>
    <t>thien.sa.hoang@umontreal.ca</t>
  </si>
  <si>
    <t>Jouamaa</t>
  </si>
  <si>
    <t>Khalid</t>
  </si>
  <si>
    <t>khalid-jouamaa.jpg</t>
  </si>
  <si>
    <t>514 343-7653</t>
  </si>
  <si>
    <t>khalid.jouamaa@umontreal.ca</t>
  </si>
  <si>
    <t>Keita</t>
  </si>
  <si>
    <t>Aminata</t>
  </si>
  <si>
    <t>aminata-keita.jpg</t>
  </si>
  <si>
    <t>514 343-6111, poste 5411</t>
  </si>
  <si>
    <t>aminata.keita@umontreal.ca</t>
  </si>
  <si>
    <t>Lachapelle</t>
  </si>
  <si>
    <t>Mélanie</t>
  </si>
  <si>
    <t>514 343-6111, poste 3571</t>
  </si>
  <si>
    <t>melanie.lachapelle@umontreal.ca</t>
  </si>
  <si>
    <t>Lagadec</t>
  </si>
  <si>
    <t>450 773-8521, poste 8368</t>
  </si>
  <si>
    <t>Laliberté</t>
  </si>
  <si>
    <t>514 343-6111, poste 41261</t>
  </si>
  <si>
    <t>marie-france.laliberte@umontreal.ca</t>
  </si>
  <si>
    <t>Lalonde</t>
  </si>
  <si>
    <t>Anne-Marie</t>
  </si>
  <si>
    <t>anne-marie-lalonde.jpg</t>
  </si>
  <si>
    <t>Gestion des collections</t>
  </si>
  <si>
    <t>514 343-6111, poste 5100</t>
  </si>
  <si>
    <t>am.lalonde@umontreal.ca</t>
  </si>
  <si>
    <t>Landry</t>
  </si>
  <si>
    <t>Tara</t>
  </si>
  <si>
    <t>tara-landry.jpg</t>
  </si>
  <si>
    <t>514 343-6111, poste 3583</t>
  </si>
  <si>
    <t>tara.landry@umontreal.ca</t>
  </si>
  <si>
    <t>Larivière-Roberge</t>
  </si>
  <si>
    <t>Référence et offre pédagogique de première ligne;Service Accessibilité</t>
  </si>
  <si>
    <t>514 343-6111, poste 2637</t>
  </si>
  <si>
    <t>stephanie.lariviere-roberge@umontreal.ca</t>
  </si>
  <si>
    <t>Lavallée-Masse</t>
  </si>
  <si>
    <t>Alex-Sandrine</t>
  </si>
  <si>
    <t>514 343-6111, poste 49272</t>
  </si>
  <si>
    <t>alex-sandrine.lavallee-masse@umontreal.ca</t>
  </si>
  <si>
    <t>Lavender</t>
  </si>
  <si>
    <t>Graham</t>
  </si>
  <si>
    <t>graham-lavender.jpg</t>
  </si>
  <si>
    <t>514-343-6111, poste 2625</t>
  </si>
  <si>
    <t>graham.lavender@umontreal.ca</t>
  </si>
  <si>
    <t>Legault</t>
  </si>
  <si>
    <t>Jessica</t>
  </si>
  <si>
    <t>514 343-6111 #3833</t>
  </si>
  <si>
    <t>jessica.legault.2@umontreal.ca</t>
  </si>
  <si>
    <t>Lemarier</t>
  </si>
  <si>
    <t>Geneviève</t>
  </si>
  <si>
    <t>genevieve-lemarier.jpg</t>
  </si>
  <si>
    <t>514 343-6111, poste 4698</t>
  </si>
  <si>
    <t>genevieve.lemarier@umontreal.ca</t>
  </si>
  <si>
    <t>Léonard</t>
  </si>
  <si>
    <t>Mariane</t>
  </si>
  <si>
    <t>mariane-leonard.jpg</t>
  </si>
  <si>
    <t>Référence et offre pédagogique de première ligne</t>
  </si>
  <si>
    <t>514-343-6111, poste 1848</t>
  </si>
  <si>
    <t>mariane.leonard@umontreal.ca</t>
  </si>
  <si>
    <t>Lethiecq-Normand</t>
  </si>
  <si>
    <t>Maude</t>
  </si>
  <si>
    <t>514-343-6111, poste 1817</t>
  </si>
  <si>
    <t>maude.lethiecq-normand@umontreal.ca</t>
  </si>
  <si>
    <t>Létourneau</t>
  </si>
  <si>
    <t>Danny</t>
  </si>
  <si>
    <t>danny-letourneau.jpg</t>
  </si>
  <si>
    <t>514 343-6111, poste 3272</t>
  </si>
  <si>
    <t>danny.letourneau@umontreal.ca</t>
  </si>
  <si>
    <t>Lévesque</t>
  </si>
  <si>
    <t>Amélie Elizabeth</t>
  </si>
  <si>
    <t>514 343-6111, poste 4700</t>
  </si>
  <si>
    <t>ae.levesque@umontreal.ca</t>
  </si>
  <si>
    <t>Anny</t>
  </si>
  <si>
    <t>anny.levesque@umontreal.ca</t>
  </si>
  <si>
    <t>Madooray</t>
  </si>
  <si>
    <t>Jason</t>
  </si>
  <si>
    <t>514 343-6111, poste 0997</t>
  </si>
  <si>
    <t>jason.madooray@umontreal.ca</t>
  </si>
  <si>
    <t>Mansar</t>
  </si>
  <si>
    <t>Yacine</t>
  </si>
  <si>
    <t>Bibliothèque de musique</t>
  </si>
  <si>
    <t>514 343-6111, poste 17306</t>
  </si>
  <si>
    <t>yacine.mansar@umontreal.ca</t>
  </si>
  <si>
    <t>Martin</t>
  </si>
  <si>
    <t>Vanessa</t>
  </si>
  <si>
    <t>514 343-6111, poste 1049</t>
  </si>
  <si>
    <t>vanessa.martin.2@umontreal.ca</t>
  </si>
  <si>
    <t>Martinolli</t>
  </si>
  <si>
    <t>Pascal</t>
  </si>
  <si>
    <t>pascal-martinolli.jpg</t>
  </si>
  <si>
    <t>514 343-6111, poste 3273</t>
  </si>
  <si>
    <t>pascal.martinolli@umontreal.ca</t>
  </si>
  <si>
    <t>Massé</t>
  </si>
  <si>
    <t>melanie-masse.jpg</t>
  </si>
  <si>
    <t>Aménagement</t>
  </si>
  <si>
    <t>Bibliothèque d'aménagement</t>
  </si>
  <si>
    <t>514-343-6111, poste 2741</t>
  </si>
  <si>
    <t>melanie.masse.2@umontreal.ca</t>
  </si>
  <si>
    <t>Mathieu-Dupuis</t>
  </si>
  <si>
    <t>Gabrielle</t>
  </si>
  <si>
    <t>gabrielle-mathieu-dupuis.jpg</t>
  </si>
  <si>
    <t>Acquisitions</t>
  </si>
  <si>
    <t>514 343-6111, poste 4009</t>
  </si>
  <si>
    <t>gabrielle.mathieu-dupuis@umontreal.ca</t>
  </si>
  <si>
    <t>Mayrand</t>
  </si>
  <si>
    <t>Benoit</t>
  </si>
  <si>
    <t>514 343-6111, poste 4315</t>
  </si>
  <si>
    <t>benoit.mayrand@umontreal.ca</t>
  </si>
  <si>
    <t>Melançon-Bolduc</t>
  </si>
  <si>
    <t>Ginette-Denyse</t>
  </si>
  <si>
    <t>ginette-melancon-bolduc.jpg</t>
  </si>
  <si>
    <t>514 343-6111, poste 2740</t>
  </si>
  <si>
    <t>ginette-denyse.melancon.bolduc@umontreal.ca</t>
  </si>
  <si>
    <t>Ménard</t>
  </si>
  <si>
    <t>Justine</t>
  </si>
  <si>
    <t>justine-menard.jpg</t>
  </si>
  <si>
    <t>514 343-6111, poste 8741</t>
  </si>
  <si>
    <t>justine.menard.1@umontreal.ca</t>
  </si>
  <si>
    <t>Murray-Samuel</t>
  </si>
  <si>
    <t>Mathieu</t>
  </si>
  <si>
    <t>514 343-6111 #50810</t>
  </si>
  <si>
    <t>mathieu.murray-samuel@umontreal.ca</t>
  </si>
  <si>
    <t>Nadeau</t>
  </si>
  <si>
    <t>France</t>
  </si>
  <si>
    <t>514 343-6111, poste 3256</t>
  </si>
  <si>
    <t>france.nadeau@umontreal.ca</t>
  </si>
  <si>
    <t>Oriental</t>
  </si>
  <si>
    <t>Magdalena</t>
  </si>
  <si>
    <t xml:space="preserve">Responsable </t>
  </si>
  <si>
    <t>Ressources humaines</t>
  </si>
  <si>
    <t>514-343-6111, poste 5577</t>
  </si>
  <si>
    <t>magdalena.oriental@umontreal.ca</t>
  </si>
  <si>
    <t>Ouadrhiri</t>
  </si>
  <si>
    <t>Fatima Zahra</t>
  </si>
  <si>
    <t>514 343-6111, poste 1077</t>
  </si>
  <si>
    <t>fatima.zahra.ouadrhiri@umontreal.ca</t>
  </si>
  <si>
    <t>Ouellette</t>
  </si>
  <si>
    <t>Julie</t>
  </si>
  <si>
    <t>514 343-6111, poste 2616</t>
  </si>
  <si>
    <t>julie.ouellette@umontreal.ca</t>
  </si>
  <si>
    <t>Panaccio</t>
  </si>
  <si>
    <t>François-Xavier</t>
  </si>
  <si>
    <t xml:space="preserve">Offre pédagogique en bibliothèque </t>
  </si>
  <si>
    <t>francois-xavier.panaccio@umontreal.ca</t>
  </si>
  <si>
    <t>Patenaude</t>
  </si>
  <si>
    <t>Caroline</t>
  </si>
  <si>
    <t>Sociologie, Anthropologie, Études autochtones, Données statistiques</t>
  </si>
  <si>
    <t>514 343-6111, poste 5239</t>
  </si>
  <si>
    <t>caroline.patenaude@umontreal.ca</t>
  </si>
  <si>
    <t>David</t>
  </si>
  <si>
    <t>david-patenaude.jpg</t>
  </si>
  <si>
    <t>514 343-6111, poste 2624</t>
  </si>
  <si>
    <t>david.patenaude.1@umontreal.ca</t>
  </si>
  <si>
    <t>Pham-Dang</t>
  </si>
  <si>
    <t>stephanie-pham-dang.jpg</t>
  </si>
  <si>
    <t>514 343-6111 poste 4308</t>
  </si>
  <si>
    <t>stephanie.pham-dang@umontreal.ca</t>
  </si>
  <si>
    <t>Pigeon</t>
  </si>
  <si>
    <t>mathieu-pigeon.jpg</t>
  </si>
  <si>
    <t>Édition savante et libre-accès</t>
  </si>
  <si>
    <t>mathieu.pigeon@umontreal.ca</t>
  </si>
  <si>
    <t>Poirier</t>
  </si>
  <si>
    <t>Marie-Claude</t>
  </si>
  <si>
    <t>marie-claude-poirier.jpg</t>
  </si>
  <si>
    <t>Médecine vétérinaire</t>
  </si>
  <si>
    <t>450 773-8521, poste 8258</t>
  </si>
  <si>
    <t>refmede@bib.umontreal.ca</t>
  </si>
  <si>
    <t>Poulin</t>
  </si>
  <si>
    <t>Nathalie</t>
  </si>
  <si>
    <t>514 343-6111, poste 45161</t>
  </si>
  <si>
    <t>nathalie.poulin.4@umontreal.ca</t>
  </si>
  <si>
    <t>Prime</t>
  </si>
  <si>
    <t>Jérémy</t>
  </si>
  <si>
    <t>514 343-6111, poste 2747</t>
  </si>
  <si>
    <t>jeremy.prime@umontreal.ca</t>
  </si>
  <si>
    <t>Rajalu</t>
  </si>
  <si>
    <t>Clotilde</t>
  </si>
  <si>
    <t>514 343-6111, poste 5544</t>
  </si>
  <si>
    <t>clotilde.rajalu@umontreal.ca</t>
  </si>
  <si>
    <t>Rioux</t>
  </si>
  <si>
    <t>valerie-rioux.jpg</t>
  </si>
  <si>
    <t>Histoire de l'art, Cinéma, Études du jeu vidéo, Études télévisuelles, Muséologie</t>
  </si>
  <si>
    <t>514 343-6111, poste 2622</t>
  </si>
  <si>
    <t>valerie.rioux.3@umontreal.ca</t>
  </si>
  <si>
    <t>Sévigny</t>
  </si>
  <si>
    <t>martin-sevigny.jpg</t>
  </si>
  <si>
    <t>m.sevigny@umontreal.ca</t>
  </si>
  <si>
    <t>Sinotte</t>
  </si>
  <si>
    <t>Chloé</t>
  </si>
  <si>
    <t>Santé publique, santé environnementale et santé au travail, administration des services de santéet nutrition</t>
  </si>
  <si>
    <t>chloe.sinotte@umontreal.ca</t>
  </si>
  <si>
    <t xml:space="preserve">Sotomayor </t>
  </si>
  <si>
    <t>Ann Marie</t>
  </si>
  <si>
    <t>St-Arnaud</t>
  </si>
  <si>
    <t>viviane-st-arnaud.jpg</t>
  </si>
  <si>
    <t>Prêt entre bibliothèques</t>
  </si>
  <si>
    <t>Service du prêt entre bibliothèques</t>
  </si>
  <si>
    <t>514 343-6111, poste 1008</t>
  </si>
  <si>
    <t>viviane.st-arnaud@umontreal.ca</t>
  </si>
  <si>
    <t>Taillon</t>
  </si>
  <si>
    <t>514 343-6111, poste 38450</t>
  </si>
  <si>
    <t>chantal.taillon@umontreal.ca</t>
  </si>
  <si>
    <t>Tardif</t>
  </si>
  <si>
    <t>Mathieu Nicolas</t>
  </si>
  <si>
    <t>mathieu-tardif.jpg</t>
  </si>
  <si>
    <t>514-343-6111, poste  13424</t>
  </si>
  <si>
    <t>mathieu.nicolas.tardif@umontreal.ca</t>
  </si>
  <si>
    <t>Thériault-Dubé</t>
  </si>
  <si>
    <t>Karine</t>
  </si>
  <si>
    <t>karine.theriault-dube@umontreal.ca</t>
  </si>
  <si>
    <t>Therrien</t>
  </si>
  <si>
    <t>Mylène</t>
  </si>
  <si>
    <t>mylene-therrien.jpg</t>
  </si>
  <si>
    <t>Direction des bibliothèques Sociétés et création</t>
  </si>
  <si>
    <t>Circulation, gestion des collections et des espaces</t>
  </si>
  <si>
    <t>514 343-6111, poste 1750</t>
  </si>
  <si>
    <t>mylene.therrien@umontreal.ca</t>
  </si>
  <si>
    <t>Thomas</t>
  </si>
  <si>
    <t>mathieu-thomas.jpg</t>
  </si>
  <si>
    <t>514 343-6111, poste 4093</t>
  </si>
  <si>
    <t>m.thomas@umontreal.ca</t>
  </si>
  <si>
    <t>Tir</t>
  </si>
  <si>
    <t>Ly Kieng</t>
  </si>
  <si>
    <t>514 343-6111, poste 2745</t>
  </si>
  <si>
    <t>ly.kieng.tir@umontreal.ca</t>
  </si>
  <si>
    <t>Tirard-Collet</t>
  </si>
  <si>
    <t>Juliette</t>
  </si>
  <si>
    <t>Communication et image de marque</t>
  </si>
  <si>
    <t>514 343-6111, poste 0900</t>
  </si>
  <si>
    <t>juliette.tirard-collet@umontreal.ca</t>
  </si>
  <si>
    <t>Tremblay</t>
  </si>
  <si>
    <t>Frédéric</t>
  </si>
  <si>
    <t>frederic.tremblay.1@umontreal.ca</t>
  </si>
  <si>
    <t>Anne-Julie</t>
  </si>
  <si>
    <t>514 343-6111, poste 3572</t>
  </si>
  <si>
    <t>anne-julie.tremblay.2@umontreal.ca</t>
  </si>
  <si>
    <t>Turgeon</t>
  </si>
  <si>
    <t>Nancy</t>
  </si>
  <si>
    <t>514 343-6111, poste 1700</t>
  </si>
  <si>
    <t>nancy.turgeon@umontreal.ca</t>
  </si>
  <si>
    <t>Vachon</t>
  </si>
  <si>
    <t>Josée</t>
  </si>
  <si>
    <t>514 343-6111, poste 3394</t>
  </si>
  <si>
    <t>josee.vachon.1@umontreal.ca</t>
  </si>
  <si>
    <t>Vallée</t>
  </si>
  <si>
    <t>Yan</t>
  </si>
  <si>
    <t>514 343-6111, poste 1706</t>
  </si>
  <si>
    <t>yan.vallee@umontreal.ca</t>
  </si>
  <si>
    <t>Viel</t>
  </si>
  <si>
    <t>514 343-6111, poste 4306</t>
  </si>
  <si>
    <t>josee.viel@umontreal.ca</t>
  </si>
  <si>
    <t>Walsh</t>
  </si>
  <si>
    <t>emilie.walsh@umontreal.ca</t>
  </si>
  <si>
    <t>isabelle.lagadec@umontreal.ca</t>
  </si>
  <si>
    <t>Bibliothèque Hubert-Reeves;Bibliothèque de kinésiologie;Bibliothèque Marguerite-d'Youville;Bibliothèque du Parc;Bibliothèque de la santé;Bibliothèque de mathématiques et informatiques</t>
  </si>
  <si>
    <t>Bibliothèque de mathématiques et informatiques</t>
  </si>
  <si>
    <t>Trépanier</t>
  </si>
  <si>
    <t>514-343-6111, poste 4310</t>
  </si>
  <si>
    <t>j.trepanier@umontreal.ca</t>
  </si>
  <si>
    <t>stephanie-lariviere-roberge.jpg</t>
  </si>
  <si>
    <t>alex-sandrine-lavallee-masse.jpg</t>
  </si>
  <si>
    <t>josee-vachon.jpg</t>
  </si>
  <si>
    <t>julie-ouellette.jpg</t>
  </si>
  <si>
    <t>Bibliothèque des lettres et sciences humaines; Bibliothèque des livres rares et collections spéciales</t>
  </si>
  <si>
    <t>Bibliothèque de droit;Bibliothèque de musique</t>
  </si>
  <si>
    <t>Référence et offre pédagogique de première ligne, psychoéducation, psychologie, sciences de l'éducation, sciences infirmières, travail social – premier cycle</t>
  </si>
  <si>
    <t>Bibliothèque d'aménagement;Bibliothèque de droit;Bibliothèque Thérèse-Gouin-Décarie;Bibliothèque du campus de l'UdeM à Laval;Bibliothèque de musique</t>
  </si>
  <si>
    <t>Bibliothèque d'aménagement; Bibliothèque de droit; Bibliothèque Thérèse-Gouin-Décarie; Bibliothèque du campus de l'UdeM à Laval; Bibliothèque de musique</t>
  </si>
  <si>
    <t>Bibliothèque d'aménagement;Bibliothèque Thérèse-Gouin-Décarie;Bibliothèque du campus de l'UdeM à Laval</t>
  </si>
  <si>
    <t>Gestion des collections et numérisation</t>
  </si>
  <si>
    <t>myriam-boyer</t>
  </si>
  <si>
    <t>caroline-patenaude.jpg</t>
  </si>
  <si>
    <t>ann-mary-sotomayor.jpg</t>
  </si>
  <si>
    <t>audrey-begin-poisson.jpg</t>
  </si>
  <si>
    <t>benoit-mayrand.jpg</t>
  </si>
  <si>
    <t>mathieu-murray-samuel.jpg</t>
  </si>
  <si>
    <t>juliette-tirard-collet.jpg</t>
  </si>
  <si>
    <t>chloe-sinotte.jpg</t>
  </si>
  <si>
    <t>frederic-tremblay.jpg</t>
  </si>
  <si>
    <t>delphine-cado.jpg</t>
  </si>
  <si>
    <t>fanny-c-brochu.jpg</t>
  </si>
  <si>
    <t>siv-kham-chao.jpg</t>
  </si>
  <si>
    <t>france-nadeau.jpg</t>
  </si>
  <si>
    <t>guylaine-brazeau.jpg</t>
  </si>
  <si>
    <t>isabelle-giguere.jpg</t>
  </si>
  <si>
    <t>karine-theriault-dube.jpg</t>
  </si>
  <si>
    <t>marie-france-bernier.jpg</t>
  </si>
  <si>
    <t>yan-vallee.jpg</t>
  </si>
  <si>
    <t>amelie-bernard.jpg</t>
  </si>
  <si>
    <t>amelie-elizabeth-levesque.jpg</t>
  </si>
  <si>
    <t>anny-levesque.jpg</t>
  </si>
  <si>
    <t>chantal-desrosiers.jpg</t>
  </si>
  <si>
    <t>jason-madooray.jpg</t>
  </si>
  <si>
    <t>jeremy-prime.jpg</t>
  </si>
  <si>
    <t>jessica-legault.jpg</t>
  </si>
  <si>
    <t>josee-viel.jpg</t>
  </si>
  <si>
    <t>judith-fafard-larose.jpg</t>
  </si>
  <si>
    <t>julie-trepanier.jpg</t>
  </si>
  <si>
    <t>ly-kieng-tir.jpg</t>
  </si>
  <si>
    <t>magdalena-oriental.jpg</t>
  </si>
  <si>
    <t>marc-olivier-croteau.jpg</t>
  </si>
  <si>
    <t>marie-france-laliberte.jpg</t>
  </si>
  <si>
    <t>marie-pierre-gadoua.jpg</t>
  </si>
  <si>
    <t>maude-lethiecq-normand.jpg</t>
  </si>
  <si>
    <t>melanie-lachapelle.jpg</t>
  </si>
  <si>
    <t>nathalie-poulin.jpg</t>
  </si>
  <si>
    <t>vanessa-martin.jpg</t>
  </si>
  <si>
    <t>yacine-mansar.jpg</t>
  </si>
  <si>
    <t>anne-dubois-mercier.jpg</t>
  </si>
  <si>
    <t>francois-constantin-d-amour.jpg</t>
  </si>
  <si>
    <t>Richard</t>
  </si>
  <si>
    <t>Sarah-Julie</t>
  </si>
  <si>
    <t>Direction de la Bibliothèque des  lettres et sciences humaines et  Livres rares et collections spéciales</t>
  </si>
  <si>
    <t>514 343-6111, poste 3772</t>
  </si>
  <si>
    <t>sarah-julie.richard@umontreal.ca</t>
  </si>
  <si>
    <t>Théberge</t>
  </si>
  <si>
    <t>514 343-6111, poste 1005</t>
  </si>
  <si>
    <t>nancy.theberge.2@umontreal.ca</t>
  </si>
  <si>
    <t>nancy-theberge.jpg</t>
  </si>
  <si>
    <t>sarah-julie-richard.jpg</t>
  </si>
  <si>
    <t>Bibliothéconomie et sciences de l'information, Relations industrielles</t>
  </si>
  <si>
    <t>Histoire, Linguistique et traduction</t>
  </si>
  <si>
    <t>Science politique, Études internationales, Études féministes - des genres et des sexualités, Sciences économiques, Données statistiques</t>
  </si>
  <si>
    <t>Ekmekjian</t>
  </si>
  <si>
    <t>Taline</t>
  </si>
  <si>
    <t>Soutien aux synthèses de connaissance</t>
  </si>
  <si>
    <t>514 343-6111, poste 0866</t>
  </si>
  <si>
    <t>taline.ekmekjian@umontreal.ca</t>
  </si>
  <si>
    <t>Buchet</t>
  </si>
  <si>
    <t>Tanya</t>
  </si>
  <si>
    <t>tanya-buchet.jpg</t>
  </si>
  <si>
    <t>Études médicales de premier cycle (Doctorat en médecine), gériatrie, sciences biomédicales</t>
  </si>
  <si>
    <t>514 343-6111, poste 0865</t>
  </si>
  <si>
    <t>tanya.buchet@umontreal.ca</t>
  </si>
  <si>
    <t>Yamalé</t>
  </si>
  <si>
    <t>Sosthène</t>
  </si>
  <si>
    <t>514 353-6000, poste 1617</t>
  </si>
  <si>
    <t>sosthene.yamale@umontreal.ca</t>
  </si>
  <si>
    <t>mailto:thien-huong.che-quang@umontreal.ca</t>
  </si>
  <si>
    <t>514 343-6111, poste 8735</t>
  </si>
  <si>
    <t>Criminologie, Démographie et sciences de la population, Sécurité et études policières, Dépendances, Victimologie, Sexualité : enjeux de société et pratiques d'intervention</t>
  </si>
  <si>
    <t>Bingoye</t>
  </si>
  <si>
    <t>Cathy</t>
  </si>
  <si>
    <t>cathy-bingoye.jpg</t>
  </si>
  <si>
    <t>Gestion des données de recherche, Recherche et communication savante</t>
  </si>
  <si>
    <t>cathy.bingoye@umontreal.ca</t>
  </si>
  <si>
    <t>Brien</t>
  </si>
  <si>
    <t>514 343-6111, poste 12448</t>
  </si>
  <si>
    <t>anne-marie.brien.1@umontreal.ca</t>
  </si>
  <si>
    <t xml:space="preserve">Technicien(ne) en documentation </t>
  </si>
  <si>
    <t>Technicien(ne) en coordination du travail de bureau</t>
  </si>
  <si>
    <t>Technicien(ne) en administration</t>
  </si>
  <si>
    <t>Technicien(ne) en documentation</t>
  </si>
  <si>
    <t>Chef(fe) de bibliothèque</t>
  </si>
  <si>
    <t xml:space="preserve">Chef(fe) de service </t>
  </si>
  <si>
    <t>Directeur(trice)</t>
  </si>
  <si>
    <t>Conseiller(ère)</t>
  </si>
  <si>
    <t>Administrateur(trice) de systèmes</t>
  </si>
  <si>
    <t xml:space="preserve">Directeur(trice) général(e) </t>
  </si>
  <si>
    <t>Nima</t>
  </si>
  <si>
    <t>Behforouz</t>
  </si>
  <si>
    <t>nima.behforouz@umontreal.ca</t>
  </si>
  <si>
    <t>lucie.geoffroy@umontreal.ca</t>
  </si>
  <si>
    <t>isabelle.giguere.4@umontreal.ca</t>
  </si>
  <si>
    <t>stephanie.hainault@umontreal.ca</t>
  </si>
  <si>
    <t>natalia.jabinschi@umontreal.ca</t>
  </si>
  <si>
    <t>Chargé(e) de projets numériques</t>
  </si>
  <si>
    <t>Lucie</t>
  </si>
  <si>
    <t>Natalia</t>
  </si>
  <si>
    <t>Analyste en informatique</t>
  </si>
  <si>
    <t>Hainault</t>
  </si>
  <si>
    <t>Jabinschi</t>
  </si>
  <si>
    <t>Geoffroy</t>
  </si>
  <si>
    <t>Antenor Alexandre</t>
  </si>
  <si>
    <t>Busch</t>
  </si>
  <si>
    <t>busch.antenor.alexandre@umontreal.ca</t>
  </si>
  <si>
    <t>Lafleur</t>
  </si>
  <si>
    <t>Pierre-Yves</t>
  </si>
  <si>
    <t>pierre-yves.lafleur@umontreal.ca</t>
  </si>
  <si>
    <t>Proulx</t>
  </si>
  <si>
    <t>mathieu.proulx@umontreal.ca</t>
  </si>
  <si>
    <t>Blondeau</t>
  </si>
  <si>
    <t>Guy</t>
  </si>
  <si>
    <t>guy.blondeau@umontreal.ca</t>
  </si>
  <si>
    <t>Viart</t>
  </si>
  <si>
    <t>Guillaume</t>
  </si>
  <si>
    <t>guillaume.viart@umontreal.ca</t>
  </si>
  <si>
    <t>Romano</t>
  </si>
  <si>
    <t>514-343-6111, poste 1989</t>
  </si>
  <si>
    <t>eric.romano@umontreal.ca</t>
  </si>
  <si>
    <t>Caballero</t>
  </si>
  <si>
    <t>Thierry</t>
  </si>
  <si>
    <t>thierry.caballero@umontreal.ca</t>
  </si>
  <si>
    <t>Cheik</t>
  </si>
  <si>
    <t>Wassif</t>
  </si>
  <si>
    <t>wassif.cheikh@umontreal.ca</t>
  </si>
  <si>
    <t>Technicien(ne) en soutien informatique</t>
  </si>
  <si>
    <t>guillaume-viart.jpg</t>
  </si>
  <si>
    <t>stephanie-hainault.jpg</t>
  </si>
  <si>
    <t>nima-behforouz.jpg</t>
  </si>
  <si>
    <t>natalia-jabinschi.jpg</t>
  </si>
  <si>
    <t>Lapalme</t>
  </si>
  <si>
    <t>Marie-Josée</t>
  </si>
  <si>
    <t>Technicien(ne) en muséologie</t>
  </si>
  <si>
    <t>514 343-6111, poste 4585</t>
  </si>
  <si>
    <t>marie-josee.lapalme@umontreal.ca</t>
  </si>
  <si>
    <t>Moreau</t>
  </si>
  <si>
    <t>diane-moreau.jpg</t>
  </si>
  <si>
    <t>514 343-6111, poste 27731</t>
  </si>
  <si>
    <t>diane.moreau@umontreal.ca</t>
  </si>
  <si>
    <t>514 343-6111, poste 2744</t>
  </si>
  <si>
    <t>Sciences infirmières et gérontologie</t>
  </si>
  <si>
    <t>anne-marie-brien.jpg</t>
  </si>
  <si>
    <t>Communication, journalisme et travail social</t>
  </si>
  <si>
    <t>Collections et numérisation</t>
  </si>
  <si>
    <t>Collections et numérisation;Centre de conservation Lionel-Groulx;Centre de conservation Marcel-Laurin</t>
  </si>
  <si>
    <t>Périodiques</t>
  </si>
  <si>
    <t>Ressources électroniques et ententes consortiales</t>
  </si>
  <si>
    <t>Monographies</t>
  </si>
  <si>
    <t>Ressources électroniques et licences</t>
  </si>
  <si>
    <t>Billie</t>
  </si>
  <si>
    <t>514 343-6111, poste 5038</t>
  </si>
  <si>
    <t>billie.bergeron@umontreal.ca</t>
  </si>
  <si>
    <t>Bibliothèque des lettres et sciences humaines; Service du prêt entre bibliothèques</t>
  </si>
  <si>
    <t>Technopédagogue</t>
  </si>
  <si>
    <t>Bibliothèque d'aménagement; Bibliothèque de droit; Bibliothèque Thérèse-Gouin-Décarie; Bibliothèque du campus de l'UdeM à Laval ; Bibliothèque de musique</t>
  </si>
  <si>
    <t>monica.audet@umontreal.ca</t>
  </si>
  <si>
    <t>Direction de la Bibliothèque des  lettres et sciences humaines et Livres rares et collections spéciales</t>
  </si>
  <si>
    <t>Direction des bibliothèques</t>
  </si>
  <si>
    <t>Gagnon-van Leeuwen</t>
  </si>
  <si>
    <t>thomas.gagnon-van.leeuwen@umontreal.ca</t>
  </si>
  <si>
    <t>Alatorre</t>
  </si>
  <si>
    <t>Florian</t>
  </si>
  <si>
    <t>514 343-6111, poste 4701</t>
  </si>
  <si>
    <t>florian.alatorre@umontreal.ca</t>
  </si>
  <si>
    <t>Salazar Varela</t>
  </si>
  <si>
    <t>Oscar</t>
  </si>
  <si>
    <t>Musique</t>
  </si>
  <si>
    <t>oscar.salazar.varela@umontreal.ca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</si>
</sst>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24242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1" applyFill="1"/>
    <xf numFmtId="0" fontId="3" fillId="0" borderId="0" xfId="0" applyFont="1"/>
    <xf numFmtId="0" fontId="2" fillId="0" borderId="0" xfId="1" applyNumberFormat="1" applyFill="1"/>
    <xf numFmtId="0" fontId="7" fillId="0" borderId="0" xfId="0" applyFont="1"/>
    <xf numFmtId="0" fontId="6" fillId="0" borderId="0" xfId="0" applyFont="1" applyAlignment="1">
      <alignment wrapText="1"/>
    </xf>
    <xf numFmtId="0" fontId="8" fillId="0" borderId="0" xfId="0" applyFont="1"/>
    <xf numFmtId="0" fontId="0" fillId="0" borderId="0" xfId="0" applyAlignment="1">
      <alignment wrapText="1"/>
    </xf>
    <xf numFmtId="0" fontId="6" fillId="0" borderId="3" xfId="0" applyFont="1" applyBorder="1"/>
    <xf numFmtId="0" fontId="2" fillId="0" borderId="0" xfId="1"/>
    <xf numFmtId="0" fontId="0" fillId="0" borderId="3" xfId="0" applyBorder="1"/>
    <xf numFmtId="0" fontId="0" fillId="0" borderId="0" xfId="0" applyFill="1"/>
    <xf numFmtId="0" fontId="6" fillId="0" borderId="0" xfId="0" applyFont="1" applyFill="1"/>
    <xf numFmtId="0" fontId="0" fillId="0" borderId="0" xfId="0" applyFont="1" applyFill="1"/>
  </cellXfs>
  <cellStyles count="2">
    <cellStyle name="Hyperlink" xfId="1" xr:uid="{00000000-000B-0000-0000-000008000000}"/>
    <cellStyle name="Normal" xfId="0" builtinId="0"/>
  </cellStyles>
  <dxfs count="12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AF7E1-A614-44BF-8C48-5C26377DC552}" name="Tableau1" displayName="Tableau1" ref="A1:J144" totalsRowShown="0" headerRowDxfId="11" dataDxfId="10">
  <autoFilter ref="A1:J144" xr:uid="{4A0AF7E1-A614-44BF-8C48-5C26377DC552}"/>
  <sortState xmlns:xlrd2="http://schemas.microsoft.com/office/spreadsheetml/2017/richdata2" ref="A2:J144">
    <sortCondition ref="A1:A144"/>
  </sortState>
  <tableColumns count="10">
    <tableColumn id="1" xr3:uid="{4B04E1AF-0079-4AD2-81CA-E8A433733E21}" name="nom" dataDxfId="9"/>
    <tableColumn id="2" xr3:uid="{1806D27F-AC1F-4E36-9BA8-C129073C454B}" name="prenom" dataDxfId="8"/>
    <tableColumn id="10" xr3:uid="{E3A23A48-0B2E-4806-A0DF-3FD140C193D8}" name="photo" dataDxfId="7"/>
    <tableColumn id="3" xr3:uid="{0FE88E88-BACD-4136-9DE5-D5CF43012561}" name="fonction" dataDxfId="6"/>
    <tableColumn id="9" xr3:uid="{5D8C8F40-AC09-4A58-AADB-E868267363E8}" name="direction" dataDxfId="5"/>
    <tableColumn id="8" xr3:uid="{EAABD870-1607-4CF3-AAF5-8E02FDD82AD3}" name="disciplines" dataDxfId="4"/>
    <tableColumn id="4" xr3:uid="{05DDFE09-1E34-4D35-BAB3-F489E7BA0330}" name="bibliotheque" dataDxfId="3"/>
    <tableColumn id="5" xr3:uid="{46B2E408-5C8E-434E-9C2D-03D2C880B796}" name="telephone" dataDxfId="2"/>
    <tableColumn id="6" xr3:uid="{1B50FE7B-209E-45E2-97D9-6B4E8A4571F7}" name="courriel" dataDxfId="1"/>
    <tableColumn id="7" xr3:uid="{8D15EE71-3F80-4AD2-9232-FBA3E46614DC}" name="teams" dataDxfId="0">
      <calculatedColumnFormula>IF(ISBLANK(Tableau1[[#This Row],[courriel]]), "", HYPERLINK(_xlfn.CONCAT("https://teams.microsoft.com/l/chat/0/0?users=",Tableau1[[#This Row],[courriel]])))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frederic.tremblay.1@umontreal.ca" TargetMode="External"/><Relationship Id="rId21" Type="http://schemas.openxmlformats.org/officeDocument/2006/relationships/hyperlink" Target="mailto:judith.fafard-larose@umontreal.ca" TargetMode="External"/><Relationship Id="rId42" Type="http://schemas.openxmlformats.org/officeDocument/2006/relationships/hyperlink" Target="mailto:tanya.buchet@umontreal.ca" TargetMode="External"/><Relationship Id="rId47" Type="http://schemas.openxmlformats.org/officeDocument/2006/relationships/hyperlink" Target="mailto:busch.antenor.alexandre@umontreal.ca" TargetMode="External"/><Relationship Id="rId63" Type="http://schemas.openxmlformats.org/officeDocument/2006/relationships/hyperlink" Target="mailto:mariane.leonard@umontreal.ca" TargetMode="External"/><Relationship Id="rId68" Type="http://schemas.openxmlformats.org/officeDocument/2006/relationships/hyperlink" Target="mailto:maryna.beaulieu@umontreal.ca" TargetMode="External"/><Relationship Id="rId84" Type="http://schemas.openxmlformats.org/officeDocument/2006/relationships/printerSettings" Target="../printerSettings/printerSettings1.bin"/><Relationship Id="rId16" Type="http://schemas.openxmlformats.org/officeDocument/2006/relationships/hyperlink" Target="mailto:alex-sandrine.lavallee-masse@umontreal.ca" TargetMode="External"/><Relationship Id="rId11" Type="http://schemas.openxmlformats.org/officeDocument/2006/relationships/hyperlink" Target="mailto:annick.charette@umontreal.ca" TargetMode="External"/><Relationship Id="rId32" Type="http://schemas.openxmlformats.org/officeDocument/2006/relationships/hyperlink" Target="mailto:ly.kieng.tir@umontreal.ca" TargetMode="External"/><Relationship Id="rId37" Type="http://schemas.openxmlformats.org/officeDocument/2006/relationships/hyperlink" Target="mailto:j.trepanier@umontreal.ca" TargetMode="External"/><Relationship Id="rId53" Type="http://schemas.openxmlformats.org/officeDocument/2006/relationships/hyperlink" Target="mailto:jean-francois.durnin@umontreal.ca" TargetMode="External"/><Relationship Id="rId58" Type="http://schemas.openxmlformats.org/officeDocument/2006/relationships/hyperlink" Target="mailto:khalid.jouamaa@umontreal.ca" TargetMode="External"/><Relationship Id="rId74" Type="http://schemas.openxmlformats.org/officeDocument/2006/relationships/hyperlink" Target="mailto:morgane.de.bellefeuille@umontreal.ca" TargetMode="External"/><Relationship Id="rId79" Type="http://schemas.openxmlformats.org/officeDocument/2006/relationships/hyperlink" Target="mailto:diane.moreau@umontreal.ca" TargetMode="External"/><Relationship Id="rId5" Type="http://schemas.openxmlformats.org/officeDocument/2006/relationships/hyperlink" Target="mailto:magalie.beaudoin@umontreal.ca" TargetMode="External"/><Relationship Id="rId19" Type="http://schemas.openxmlformats.org/officeDocument/2006/relationships/hyperlink" Target="mailto:marie-france.laliberte@umontreal.ca" TargetMode="External"/><Relationship Id="rId14" Type="http://schemas.openxmlformats.org/officeDocument/2006/relationships/hyperlink" Target="mailto:jeremy.prime@umontreal.ca" TargetMode="External"/><Relationship Id="rId22" Type="http://schemas.openxmlformats.org/officeDocument/2006/relationships/hyperlink" Target="mailto:francois-xavier.panaccio@umontreal.ca" TargetMode="External"/><Relationship Id="rId27" Type="http://schemas.openxmlformats.org/officeDocument/2006/relationships/hyperlink" Target="mailto:jason.madooray@umontreal.ca" TargetMode="External"/><Relationship Id="rId30" Type="http://schemas.openxmlformats.org/officeDocument/2006/relationships/hyperlink" Target="mailto:nathalie.poulin.4@umontreal.ca" TargetMode="External"/><Relationship Id="rId35" Type="http://schemas.openxmlformats.org/officeDocument/2006/relationships/hyperlink" Target="mailto:josee.viel@umontreal.ca" TargetMode="External"/><Relationship Id="rId43" Type="http://schemas.openxmlformats.org/officeDocument/2006/relationships/hyperlink" Target="mailto:sosthene.yamale@umontreal.ca" TargetMode="External"/><Relationship Id="rId48" Type="http://schemas.openxmlformats.org/officeDocument/2006/relationships/hyperlink" Target="mailto:guy.blondeau@umontreal.ca" TargetMode="External"/><Relationship Id="rId56" Type="http://schemas.openxmlformats.org/officeDocument/2006/relationships/hyperlink" Target="mailto:juliette.tirard-collet@umontreal.ca" TargetMode="External"/><Relationship Id="rId64" Type="http://schemas.openxmlformats.org/officeDocument/2006/relationships/hyperlink" Target="mailto:refmede@bib.umontreal.ca" TargetMode="External"/><Relationship Id="rId69" Type="http://schemas.openxmlformats.org/officeDocument/2006/relationships/hyperlink" Target="mailto:m.thomas@umontreal.ca" TargetMode="External"/><Relationship Id="rId77" Type="http://schemas.openxmlformats.org/officeDocument/2006/relationships/hyperlink" Target="mailto:nima.behforouz@umontreal.ca" TargetMode="External"/><Relationship Id="rId8" Type="http://schemas.openxmlformats.org/officeDocument/2006/relationships/hyperlink" Target="mailto:simon.blais.longtin@umontreal.ca" TargetMode="External"/><Relationship Id="rId51" Type="http://schemas.openxmlformats.org/officeDocument/2006/relationships/hyperlink" Target="mailto:thierry.caballero@umontreal.ca" TargetMode="External"/><Relationship Id="rId72" Type="http://schemas.openxmlformats.org/officeDocument/2006/relationships/hyperlink" Target="mailto:melanie.masse.2@umontreal.ca" TargetMode="External"/><Relationship Id="rId80" Type="http://schemas.openxmlformats.org/officeDocument/2006/relationships/hyperlink" Target="mailto:anne-marie.brien.1@umontreal.ca" TargetMode="External"/><Relationship Id="rId85" Type="http://schemas.openxmlformats.org/officeDocument/2006/relationships/table" Target="../tables/table1.xml"/><Relationship Id="rId3" Type="http://schemas.openxmlformats.org/officeDocument/2006/relationships/hyperlink" Target="mailto:hugo.bernier@umontreal.ca" TargetMode="External"/><Relationship Id="rId12" Type="http://schemas.openxmlformats.org/officeDocument/2006/relationships/hyperlink" Target="mailto:anne-julie.tremblay.2@umontreal.ca" TargetMode="External"/><Relationship Id="rId17" Type="http://schemas.openxmlformats.org/officeDocument/2006/relationships/hyperlink" Target="mailto:fanny.c.brochu@umontreal.ca" TargetMode="External"/><Relationship Id="rId25" Type="http://schemas.openxmlformats.org/officeDocument/2006/relationships/hyperlink" Target="mailto:mathieu.murray-samuel@umontreal.ca" TargetMode="External"/><Relationship Id="rId33" Type="http://schemas.openxmlformats.org/officeDocument/2006/relationships/hyperlink" Target="mailto:nancy.turgeon@umontreal.ca" TargetMode="External"/><Relationship Id="rId38" Type="http://schemas.openxmlformats.org/officeDocument/2006/relationships/hyperlink" Target="mailto:thien-huong.che-quang@umontreal.ca" TargetMode="External"/><Relationship Id="rId46" Type="http://schemas.openxmlformats.org/officeDocument/2006/relationships/hyperlink" Target="mailto:pierre-yves.lafleur@umontreal.ca" TargetMode="External"/><Relationship Id="rId59" Type="http://schemas.openxmlformats.org/officeDocument/2006/relationships/hyperlink" Target="mailto:lucie.geoffroy@umontreal.ca" TargetMode="External"/><Relationship Id="rId67" Type="http://schemas.openxmlformats.org/officeDocument/2006/relationships/hyperlink" Target="mailto:m.sevigny@umontreal.ca" TargetMode="External"/><Relationship Id="rId20" Type="http://schemas.openxmlformats.org/officeDocument/2006/relationships/hyperlink" Target="mailto:marie-france.bernier@umontreal.ca" TargetMode="External"/><Relationship Id="rId41" Type="http://schemas.openxmlformats.org/officeDocument/2006/relationships/hyperlink" Target="mailto:taline.ekmekjian@umontreal.ca" TargetMode="External"/><Relationship Id="rId54" Type="http://schemas.openxmlformats.org/officeDocument/2006/relationships/hyperlink" Target="mailto:joanna.bodnar@umontreal.ca" TargetMode="External"/><Relationship Id="rId62" Type="http://schemas.openxmlformats.org/officeDocument/2006/relationships/hyperlink" Target="mailto:7077duParc@bib.umontreal.ca" TargetMode="External"/><Relationship Id="rId70" Type="http://schemas.openxmlformats.org/officeDocument/2006/relationships/hyperlink" Target="mailto:mathieu.nicolas.tardif@umontreal.ca" TargetMode="External"/><Relationship Id="rId75" Type="http://schemas.openxmlformats.org/officeDocument/2006/relationships/hyperlink" Target="mailto:mylene.therrien@umontreal.ca" TargetMode="External"/><Relationship Id="rId83" Type="http://schemas.openxmlformats.org/officeDocument/2006/relationships/hyperlink" Target="mailto:oscar.salazar.varela@umontreal.ca" TargetMode="External"/><Relationship Id="rId1" Type="http://schemas.openxmlformats.org/officeDocument/2006/relationships/hyperlink" Target="mailto:audrey.begin-poissant@umontreal.ca" TargetMode="External"/><Relationship Id="rId6" Type="http://schemas.openxmlformats.org/officeDocument/2006/relationships/hyperlink" Target="mailto:mathieu.pigeon@umontreal.ca" TargetMode="External"/><Relationship Id="rId15" Type="http://schemas.openxmlformats.org/officeDocument/2006/relationships/hyperlink" Target="mailto:anne.dubois.mercier@umontreal.ca" TargetMode="External"/><Relationship Id="rId23" Type="http://schemas.openxmlformats.org/officeDocument/2006/relationships/hyperlink" Target="mailto:noemie.gervais@umontreal.ca" TargetMode="External"/><Relationship Id="rId28" Type="http://schemas.openxmlformats.org/officeDocument/2006/relationships/hyperlink" Target="mailto:yacine.mansar@umontreal.ca" TargetMode="External"/><Relationship Id="rId36" Type="http://schemas.openxmlformats.org/officeDocument/2006/relationships/hyperlink" Target="mailto:amelie.bernard@umontreal.ca" TargetMode="External"/><Relationship Id="rId49" Type="http://schemas.openxmlformats.org/officeDocument/2006/relationships/hyperlink" Target="mailto:guillaume.viart@umontreal.ca" TargetMode="External"/><Relationship Id="rId57" Type="http://schemas.openxmlformats.org/officeDocument/2006/relationships/hyperlink" Target="mailto:justine.menard.1@umontreal.ca" TargetMode="External"/><Relationship Id="rId10" Type="http://schemas.openxmlformats.org/officeDocument/2006/relationships/hyperlink" Target="mailto:josee.vachon.1@umontreal.ca" TargetMode="External"/><Relationship Id="rId31" Type="http://schemas.openxmlformats.org/officeDocument/2006/relationships/hyperlink" Target="mailto:karine.theriault-dube@umontreal.ca" TargetMode="External"/><Relationship Id="rId44" Type="http://schemas.openxmlformats.org/officeDocument/2006/relationships/hyperlink" Target="mailto:cathy.bingoye@umontreal.ca" TargetMode="External"/><Relationship Id="rId52" Type="http://schemas.openxmlformats.org/officeDocument/2006/relationships/hyperlink" Target="mailto:emilie.walsh@umontreal.ca" TargetMode="External"/><Relationship Id="rId60" Type="http://schemas.openxmlformats.org/officeDocument/2006/relationships/hyperlink" Target="mailto:magdalena.oriental@umontreal.ca" TargetMode="External"/><Relationship Id="rId65" Type="http://schemas.openxmlformats.org/officeDocument/2006/relationships/hyperlink" Target="mailto:marie-pierre.gadoua@umontreal.ca" TargetMode="External"/><Relationship Id="rId73" Type="http://schemas.openxmlformats.org/officeDocument/2006/relationships/hyperlink" Target="mailto:monica.audet@umontreal.ca" TargetMode="External"/><Relationship Id="rId78" Type="http://schemas.openxmlformats.org/officeDocument/2006/relationships/hyperlink" Target="mailto:marie-josee.lapalme@umontreal.ca" TargetMode="External"/><Relationship Id="rId81" Type="http://schemas.openxmlformats.org/officeDocument/2006/relationships/hyperlink" Target="mailto:billie.bergeron@umontreal.ca" TargetMode="External"/><Relationship Id="rId4" Type="http://schemas.openxmlformats.org/officeDocument/2006/relationships/hyperlink" Target="mailto:isabelle.lagadec@umontreal.ca" TargetMode="External"/><Relationship Id="rId9" Type="http://schemas.openxmlformats.org/officeDocument/2006/relationships/hyperlink" Target="mailto:vanessa.martin.2@umontreal.ca" TargetMode="External"/><Relationship Id="rId13" Type="http://schemas.openxmlformats.org/officeDocument/2006/relationships/hyperlink" Target="mailto:melanie.lachapelle@umontreal.ca" TargetMode="External"/><Relationship Id="rId18" Type="http://schemas.openxmlformats.org/officeDocument/2006/relationships/hyperlink" Target="mailto:clotilde.rajalu@umontreal.ca" TargetMode="External"/><Relationship Id="rId39" Type="http://schemas.openxmlformats.org/officeDocument/2006/relationships/hyperlink" Target="mailto:nancy.theberge.2@umontreal.ca" TargetMode="External"/><Relationship Id="rId34" Type="http://schemas.openxmlformats.org/officeDocument/2006/relationships/hyperlink" Target="mailto:yan.vallee@umontreal.ca" TargetMode="External"/><Relationship Id="rId50" Type="http://schemas.openxmlformats.org/officeDocument/2006/relationships/hyperlink" Target="mailto:eric.romano@umontreal.ca" TargetMode="External"/><Relationship Id="rId55" Type="http://schemas.openxmlformats.org/officeDocument/2006/relationships/hyperlink" Target="mailto:julie.ouellette@umontreal.ca" TargetMode="External"/><Relationship Id="rId76" Type="http://schemas.openxmlformats.org/officeDocument/2006/relationships/hyperlink" Target="mailto:myriam.boyer@umontreal.ca" TargetMode="External"/><Relationship Id="rId7" Type="http://schemas.openxmlformats.org/officeDocument/2006/relationships/hyperlink" Target="mailto:nadege.arsa@bib.umontreal.ca" TargetMode="External"/><Relationship Id="rId71" Type="http://schemas.openxmlformats.org/officeDocument/2006/relationships/hyperlink" Target="mailto:maude.lethiecq-normand@umontreal.ca" TargetMode="External"/><Relationship Id="rId2" Type="http://schemas.openxmlformats.org/officeDocument/2006/relationships/hyperlink" Target="mailto:delphine.cado@umontreal.ca" TargetMode="External"/><Relationship Id="rId29" Type="http://schemas.openxmlformats.org/officeDocument/2006/relationships/hyperlink" Target="mailto:benoit.mayrand@umontreal.ca" TargetMode="External"/><Relationship Id="rId24" Type="http://schemas.openxmlformats.org/officeDocument/2006/relationships/hyperlink" Target="mailto:jessica.legault.2@umontreal.ca" TargetMode="External"/><Relationship Id="rId40" Type="http://schemas.openxmlformats.org/officeDocument/2006/relationships/hyperlink" Target="mailto:sarah-julie.richard@umontreal.ca" TargetMode="External"/><Relationship Id="rId45" Type="http://schemas.openxmlformats.org/officeDocument/2006/relationships/hyperlink" Target="mailto:mathieu.proulx@umontreal.ca" TargetMode="External"/><Relationship Id="rId66" Type="http://schemas.openxmlformats.org/officeDocument/2006/relationships/hyperlink" Target="mailto:marjorie.gauchier@umontreal.ca" TargetMode="External"/><Relationship Id="rId61" Type="http://schemas.openxmlformats.org/officeDocument/2006/relationships/hyperlink" Target="mailto:marc-olivier.croteau@umontreal.ca" TargetMode="External"/><Relationship Id="rId82" Type="http://schemas.openxmlformats.org/officeDocument/2006/relationships/hyperlink" Target="mailto:florian.alatorre@umontreal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zoomScale="115" zoomScaleNormal="115" workbookViewId="0">
      <pane ySplit="1" topLeftCell="A65" activePane="bottomLeft" state="frozen"/>
      <selection pane="bottomLeft"/>
    </sheetView>
  </sheetViews>
  <sheetFormatPr defaultColWidth="9.109375" defaultRowHeight="14.4" x14ac:dyDescent="0.3"/>
  <cols>
    <col min="1" max="1" width="18.44140625" customWidth="1"/>
    <col min="2" max="2" width="13" customWidth="1"/>
    <col min="3" max="3" width="33.88671875" customWidth="1"/>
    <col min="4" max="4" width="45.33203125" customWidth="1"/>
    <col min="5" max="5" width="58.109375" customWidth="1"/>
    <col min="6" max="6" width="58" customWidth="1"/>
    <col min="7" max="7" width="70.88671875" customWidth="1"/>
    <col min="8" max="8" width="23.6640625" bestFit="1" customWidth="1"/>
    <col min="9" max="9" width="41.44140625" bestFit="1" customWidth="1"/>
    <col min="10" max="10" width="86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 s="5" t="s">
        <v>754</v>
      </c>
      <c r="B2" s="5" t="s">
        <v>755</v>
      </c>
      <c r="C2" s="5"/>
      <c r="D2" s="5" t="s">
        <v>13</v>
      </c>
      <c r="E2" s="5"/>
      <c r="F2" s="5" t="s">
        <v>131</v>
      </c>
      <c r="G2" s="5" t="s">
        <v>87</v>
      </c>
      <c r="H2" s="5" t="s">
        <v>756</v>
      </c>
      <c r="I2" s="14" t="s">
        <v>757</v>
      </c>
      <c r="J2" s="6" t="str">
        <f>IF(ISBLANK(Tableau1[[#This Row],[courriel]]), "", HYPERLINK(_xlfn.CONCAT("https://teams.microsoft.com/l/chat/0/0?users=",Tableau1[[#This Row],[courriel]])))</f>
        <v>https://teams.microsoft.com/l/chat/0/0?users=florian.alatorre@umontreal.ca</v>
      </c>
    </row>
    <row r="3" spans="1:10" x14ac:dyDescent="0.3">
      <c r="A3" s="5" t="s">
        <v>10</v>
      </c>
      <c r="B3" s="5" t="s">
        <v>11</v>
      </c>
      <c r="C3" s="5" t="s">
        <v>12</v>
      </c>
      <c r="D3" s="5" t="s">
        <v>13</v>
      </c>
      <c r="E3" s="5"/>
      <c r="F3" s="5" t="s">
        <v>14</v>
      </c>
      <c r="G3" s="5" t="s">
        <v>15</v>
      </c>
      <c r="H3" s="5" t="s">
        <v>16</v>
      </c>
      <c r="I3" s="5" t="s">
        <v>17</v>
      </c>
      <c r="J3" s="6" t="str">
        <f>IF(ISBLANK(Tableau1[[#This Row],[courriel]]), "", HYPERLINK(_xlfn.CONCAT("https://teams.microsoft.com/l/chat/0/0?users=",Tableau1[[#This Row],[courriel]])))</f>
        <v>https://teams.microsoft.com/l/chat/0/0?users=alexandre.amar-zifkin@umontreal.ca</v>
      </c>
    </row>
    <row r="4" spans="1:10" x14ac:dyDescent="0.3">
      <c r="A4" s="5" t="s">
        <v>18</v>
      </c>
      <c r="B4" s="5" t="s">
        <v>19</v>
      </c>
      <c r="C4" s="5" t="s">
        <v>20</v>
      </c>
      <c r="D4" s="5" t="s">
        <v>27</v>
      </c>
      <c r="E4" s="5"/>
      <c r="F4" s="5" t="s">
        <v>588</v>
      </c>
      <c r="G4" s="5" t="s">
        <v>21</v>
      </c>
      <c r="H4" s="5" t="s">
        <v>22</v>
      </c>
      <c r="I4" s="5" t="s">
        <v>23</v>
      </c>
      <c r="J4" s="6" t="str">
        <f>IF(ISBLANK(Tableau1[[#This Row],[courriel]]), "", HYPERLINK(_xlfn.CONCAT("https://teams.microsoft.com/l/chat/0/0?users=",Tableau1[[#This Row],[courriel]])))</f>
        <v>https://teams.microsoft.com/l/chat/0/0?users=viviane.angers@umontreal.ca</v>
      </c>
    </row>
    <row r="5" spans="1:10" x14ac:dyDescent="0.3">
      <c r="A5" t="s">
        <v>696</v>
      </c>
      <c r="B5" t="s">
        <v>697</v>
      </c>
      <c r="C5" s="5"/>
      <c r="D5" t="s">
        <v>719</v>
      </c>
      <c r="E5" s="5" t="s">
        <v>76</v>
      </c>
      <c r="G5" t="s">
        <v>77</v>
      </c>
      <c r="H5" t="s">
        <v>306</v>
      </c>
      <c r="I5" s="6" t="s">
        <v>698</v>
      </c>
      <c r="J5" s="8" t="str">
        <f>IF(ISBLANK(Tableau1[[#This Row],[courriel]]), "", HYPERLINK(_xlfn.CONCAT("https://teams.microsoft.com/l/chat/0/0?users=",Tableau1[[#This Row],[courriel]])))</f>
        <v>https://teams.microsoft.com/l/chat/0/0?users=busch.antenor.alexandre@umontreal.ca</v>
      </c>
    </row>
    <row r="6" spans="1:10" x14ac:dyDescent="0.3">
      <c r="A6" s="5" t="s">
        <v>24</v>
      </c>
      <c r="B6" s="5" t="s">
        <v>25</v>
      </c>
      <c r="C6" s="5" t="s">
        <v>26</v>
      </c>
      <c r="D6" s="5" t="s">
        <v>27</v>
      </c>
      <c r="E6" s="5"/>
      <c r="F6" s="5" t="s">
        <v>28</v>
      </c>
      <c r="G6" s="5" t="s">
        <v>29</v>
      </c>
      <c r="H6" s="5" t="s">
        <v>30</v>
      </c>
      <c r="I6" s="6" t="s">
        <v>31</v>
      </c>
      <c r="J6" s="6" t="str">
        <f>IF(ISBLANK(Tableau1[[#This Row],[courriel]]), "", HYPERLINK(_xlfn.CONCAT("https://teams.microsoft.com/l/chat/0/0?users=",Tableau1[[#This Row],[courriel]])))</f>
        <v>https://teams.microsoft.com/l/chat/0/0?users=nadege.arsa@bib.umontreal.ca</v>
      </c>
    </row>
    <row r="7" spans="1:10" x14ac:dyDescent="0.3">
      <c r="A7" s="5" t="s">
        <v>32</v>
      </c>
      <c r="B7" s="5" t="s">
        <v>33</v>
      </c>
      <c r="C7" s="5" t="s">
        <v>34</v>
      </c>
      <c r="D7" s="5" t="s">
        <v>13</v>
      </c>
      <c r="E7" s="5"/>
      <c r="F7" s="5" t="s">
        <v>35</v>
      </c>
      <c r="G7" s="5" t="s">
        <v>15</v>
      </c>
      <c r="H7" s="5" t="s">
        <v>36</v>
      </c>
      <c r="I7" s="5" t="s">
        <v>37</v>
      </c>
      <c r="J7" s="6" t="str">
        <f>IF(ISBLANK(Tableau1[[#This Row],[courriel]]), "", HYPERLINK(_xlfn.CONCAT("https://teams.microsoft.com/l/chat/0/0?users=",Tableau1[[#This Row],[courriel]])))</f>
        <v>https://teams.microsoft.com/l/chat/0/0?users=denis.arvisais@umontreal.ca</v>
      </c>
    </row>
    <row r="8" spans="1:10" x14ac:dyDescent="0.3">
      <c r="A8" s="5" t="s">
        <v>38</v>
      </c>
      <c r="B8" s="5" t="s">
        <v>39</v>
      </c>
      <c r="C8" s="5" t="s">
        <v>40</v>
      </c>
      <c r="D8" s="5" t="s">
        <v>677</v>
      </c>
      <c r="E8" s="5" t="s">
        <v>536</v>
      </c>
      <c r="F8" s="5" t="s">
        <v>41</v>
      </c>
      <c r="G8" s="5" t="s">
        <v>589</v>
      </c>
      <c r="H8" s="5" t="s">
        <v>42</v>
      </c>
      <c r="I8" s="5" t="s">
        <v>43</v>
      </c>
      <c r="J8" s="6" t="str">
        <f>IF(ISBLANK(Tableau1[[#This Row],[courriel]]), "", HYPERLINK(_xlfn.CONCAT("https://teams.microsoft.com/l/chat/0/0?users=",Tableau1[[#This Row],[courriel]])))</f>
        <v>https://teams.microsoft.com/l/chat/0/0?users=audrey.attia@umontreal.ca</v>
      </c>
    </row>
    <row r="9" spans="1:10" x14ac:dyDescent="0.3">
      <c r="A9" s="5" t="s">
        <v>44</v>
      </c>
      <c r="B9" s="5" t="s">
        <v>45</v>
      </c>
      <c r="C9" s="5" t="s">
        <v>46</v>
      </c>
      <c r="D9" s="5" t="s">
        <v>672</v>
      </c>
      <c r="E9" s="5"/>
      <c r="F9" s="5"/>
      <c r="G9" s="5" t="s">
        <v>21</v>
      </c>
      <c r="H9" s="5" t="s">
        <v>47</v>
      </c>
      <c r="I9" s="14" t="s">
        <v>749</v>
      </c>
      <c r="J9" s="6" t="str">
        <f>IF(ISBLANK(Tableau1[[#This Row],[courriel]]), "", HYPERLINK(_xlfn.CONCAT("https://teams.microsoft.com/l/chat/0/0?users=",Tableau1[[#This Row],[courriel]])))</f>
        <v>https://teams.microsoft.com/l/chat/0/0?users=monica.audet@umontreal.ca</v>
      </c>
    </row>
    <row r="10" spans="1:10" x14ac:dyDescent="0.3">
      <c r="A10" t="s">
        <v>48</v>
      </c>
      <c r="B10" t="s">
        <v>49</v>
      </c>
      <c r="C10" s="7" t="s">
        <v>50</v>
      </c>
      <c r="D10" t="s">
        <v>13</v>
      </c>
      <c r="F10" s="5" t="s">
        <v>51</v>
      </c>
      <c r="G10" t="s">
        <v>52</v>
      </c>
      <c r="H10" s="3" t="s">
        <v>53</v>
      </c>
      <c r="I10" s="3" t="s">
        <v>54</v>
      </c>
      <c r="J10" s="6" t="str">
        <f>IF(ISBLANK(Tableau1[[#This Row],[courriel]]), "", HYPERLINK(_xlfn.CONCAT("https://teams.microsoft.com/l/chat/0/0?users=",Tableau1[[#This Row],[courriel]])))</f>
        <v>https://teams.microsoft.com/l/chat/0/0?users=valerie.bastien@umontreal.ca</v>
      </c>
    </row>
    <row r="11" spans="1:10" x14ac:dyDescent="0.3">
      <c r="A11" s="5" t="s">
        <v>55</v>
      </c>
      <c r="B11" s="5" t="s">
        <v>56</v>
      </c>
      <c r="C11" s="5"/>
      <c r="D11" s="5" t="s">
        <v>57</v>
      </c>
      <c r="E11" s="5" t="s">
        <v>58</v>
      </c>
      <c r="G11" t="s">
        <v>59</v>
      </c>
      <c r="H11" s="3" t="s">
        <v>60</v>
      </c>
      <c r="I11" s="6" t="s">
        <v>61</v>
      </c>
      <c r="J11" s="6" t="str">
        <f>IF(ISBLANK(Tableau1[[#This Row],[courriel]]), "", HYPERLINK(_xlfn.CONCAT("https://teams.microsoft.com/l/chat/0/0?users=",Tableau1[[#This Row],[courriel]])))</f>
        <v>https://teams.microsoft.com/l/chat/0/0?users=magalie.beaudoin@umontreal.ca</v>
      </c>
    </row>
    <row r="12" spans="1:10" x14ac:dyDescent="0.3">
      <c r="A12" s="5" t="s">
        <v>62</v>
      </c>
      <c r="B12" s="5" t="s">
        <v>63</v>
      </c>
      <c r="C12" s="5" t="s">
        <v>64</v>
      </c>
      <c r="D12" s="5" t="s">
        <v>678</v>
      </c>
      <c r="E12" t="s">
        <v>65</v>
      </c>
      <c r="F12" t="s">
        <v>518</v>
      </c>
      <c r="G12" s="5" t="s">
        <v>586</v>
      </c>
      <c r="H12" s="3" t="s">
        <v>66</v>
      </c>
      <c r="I12" s="14" t="s">
        <v>67</v>
      </c>
      <c r="J12" s="6" t="str">
        <f>IF(ISBLANK(Tableau1[[#This Row],[courriel]]), "", HYPERLINK(_xlfn.CONCAT("https://teams.microsoft.com/l/chat/0/0?users=",Tableau1[[#This Row],[courriel]])))</f>
        <v>https://teams.microsoft.com/l/chat/0/0?users=maryna.beaulieu@umontreal.ca</v>
      </c>
    </row>
    <row r="13" spans="1:10" x14ac:dyDescent="0.3">
      <c r="A13" s="5" t="s">
        <v>68</v>
      </c>
      <c r="B13" s="5" t="s">
        <v>39</v>
      </c>
      <c r="C13" s="5" t="s">
        <v>596</v>
      </c>
      <c r="D13" s="5" t="s">
        <v>689</v>
      </c>
      <c r="E13" s="5" t="s">
        <v>69</v>
      </c>
      <c r="F13" s="5" t="s">
        <v>70</v>
      </c>
      <c r="G13" t="s">
        <v>737</v>
      </c>
      <c r="H13" s="3" t="s">
        <v>71</v>
      </c>
      <c r="I13" s="6" t="s">
        <v>72</v>
      </c>
      <c r="J13" s="6" t="str">
        <f>IF(ISBLANK(Tableau1[[#This Row],[courriel]]), "", HYPERLINK(_xlfn.CONCAT("https://teams.microsoft.com/l/chat/0/0?users=",Tableau1[[#This Row],[courriel]])))</f>
        <v>https://teams.microsoft.com/l/chat/0/0?users=audrey.begin-poissant@umontreal.ca</v>
      </c>
    </row>
    <row r="14" spans="1:10" x14ac:dyDescent="0.3">
      <c r="A14" t="s">
        <v>683</v>
      </c>
      <c r="B14" t="s">
        <v>682</v>
      </c>
      <c r="C14" s="5" t="s">
        <v>722</v>
      </c>
      <c r="D14" s="5" t="s">
        <v>27</v>
      </c>
      <c r="E14" s="5" t="s">
        <v>76</v>
      </c>
      <c r="F14" s="5"/>
      <c r="G14" s="5" t="s">
        <v>305</v>
      </c>
      <c r="H14" s="5" t="s">
        <v>306</v>
      </c>
      <c r="I14" s="14" t="s">
        <v>684</v>
      </c>
      <c r="J14" s="8" t="str">
        <f>IF(ISBLANK(Tableau1[[#This Row],[courriel]]), "", HYPERLINK(_xlfn.CONCAT("https://teams.microsoft.com/l/chat/0/0?users=",Tableau1[[#This Row],[courriel]])))</f>
        <v>https://teams.microsoft.com/l/chat/0/0?users=nima.behforouz@umontreal.ca</v>
      </c>
    </row>
    <row r="15" spans="1:10" x14ac:dyDescent="0.3">
      <c r="A15" s="5" t="s">
        <v>73</v>
      </c>
      <c r="B15" s="5" t="s">
        <v>74</v>
      </c>
      <c r="C15" s="5" t="s">
        <v>75</v>
      </c>
      <c r="D15" s="5" t="s">
        <v>677</v>
      </c>
      <c r="E15" s="5" t="s">
        <v>76</v>
      </c>
      <c r="G15" s="5" t="s">
        <v>77</v>
      </c>
      <c r="H15" s="3" t="s">
        <v>78</v>
      </c>
      <c r="I15" s="3" t="s">
        <v>79</v>
      </c>
      <c r="J15" s="6" t="str">
        <f>IF(ISBLANK(Tableau1[[#This Row],[courriel]]), "", HYPERLINK(_xlfn.CONCAT("https://teams.microsoft.com/l/chat/0/0?users=",Tableau1[[#This Row],[courriel]])))</f>
        <v>https://teams.microsoft.com/l/chat/0/0?users=christian.belanger@umontreal.ca</v>
      </c>
    </row>
    <row r="16" spans="1:10" x14ac:dyDescent="0.3">
      <c r="A16" s="5" t="s">
        <v>80</v>
      </c>
      <c r="B16" s="5" t="s">
        <v>743</v>
      </c>
      <c r="C16" s="5"/>
      <c r="D16" s="5" t="s">
        <v>675</v>
      </c>
      <c r="E16" s="5" t="s">
        <v>117</v>
      </c>
      <c r="G16" s="5" t="s">
        <v>284</v>
      </c>
      <c r="H16" s="3" t="s">
        <v>744</v>
      </c>
      <c r="I16" s="6" t="s">
        <v>745</v>
      </c>
      <c r="J16" s="8" t="str">
        <f>IF(ISBLANK(Tableau1[[#This Row],[courriel]]), "", HYPERLINK(_xlfn.CONCAT("https://teams.microsoft.com/l/chat/0/0?users=",Tableau1[[#This Row],[courriel]])))</f>
        <v>https://teams.microsoft.com/l/chat/0/0?users=billie.bergeron@umontreal.ca</v>
      </c>
    </row>
    <row r="17" spans="1:10" x14ac:dyDescent="0.3">
      <c r="A17" s="5" t="s">
        <v>80</v>
      </c>
      <c r="B17" s="5" t="s">
        <v>81</v>
      </c>
      <c r="C17" s="5" t="s">
        <v>82</v>
      </c>
      <c r="D17" s="5" t="s">
        <v>27</v>
      </c>
      <c r="E17" s="5" t="s">
        <v>117</v>
      </c>
      <c r="F17" s="5" t="s">
        <v>465</v>
      </c>
      <c r="G17" s="5" t="s">
        <v>15</v>
      </c>
      <c r="H17" s="3" t="s">
        <v>83</v>
      </c>
      <c r="I17" s="3" t="s">
        <v>84</v>
      </c>
      <c r="J17" s="6" t="str">
        <f>IF(ISBLANK(Tableau1[[#This Row],[courriel]]), "", HYPERLINK(_xlfn.CONCAT("https://teams.microsoft.com/l/chat/0/0?users=",Tableau1[[#This Row],[courriel]])))</f>
        <v>https://teams.microsoft.com/l/chat/0/0?users=amy.bergeron@umontreal.ca</v>
      </c>
    </row>
    <row r="18" spans="1:10" x14ac:dyDescent="0.3">
      <c r="A18" s="5" t="s">
        <v>85</v>
      </c>
      <c r="B18" s="5" t="s">
        <v>86</v>
      </c>
      <c r="C18" s="5" t="s">
        <v>611</v>
      </c>
      <c r="D18" s="5" t="s">
        <v>672</v>
      </c>
      <c r="E18" s="5"/>
      <c r="F18" s="5"/>
      <c r="G18" s="5" t="s">
        <v>87</v>
      </c>
      <c r="H18" s="5" t="s">
        <v>88</v>
      </c>
      <c r="I18" s="6" t="s">
        <v>89</v>
      </c>
      <c r="J18" s="6" t="str">
        <f>IF(ISBLANK(Tableau1[[#This Row],[courriel]]), "", HYPERLINK(_xlfn.CONCAT("https://teams.microsoft.com/l/chat/0/0?users=",Tableau1[[#This Row],[courriel]])))</f>
        <v>https://teams.microsoft.com/l/chat/0/0?users=amelie.bernard@umontreal.ca</v>
      </c>
    </row>
    <row r="19" spans="1:10" x14ac:dyDescent="0.3">
      <c r="A19" s="5" t="s">
        <v>90</v>
      </c>
      <c r="B19" s="5" t="s">
        <v>91</v>
      </c>
      <c r="C19" s="5"/>
      <c r="D19" s="5" t="s">
        <v>27</v>
      </c>
      <c r="E19" s="5" t="s">
        <v>76</v>
      </c>
      <c r="F19" s="5" t="s">
        <v>92</v>
      </c>
      <c r="G19" t="s">
        <v>93</v>
      </c>
      <c r="H19" s="5"/>
      <c r="I19" s="6" t="s">
        <v>94</v>
      </c>
      <c r="J19" s="6" t="str">
        <f>IF(ISBLANK(Tableau1[[#This Row],[courriel]]), "", HYPERLINK(_xlfn.CONCAT("https://teams.microsoft.com/l/chat/0/0?users=",Tableau1[[#This Row],[courriel]])))</f>
        <v>https://teams.microsoft.com/l/chat/0/0?users=hugo.bernier@umontreal.ca</v>
      </c>
    </row>
    <row r="20" spans="1:10" x14ac:dyDescent="0.3">
      <c r="A20" t="s">
        <v>90</v>
      </c>
      <c r="B20" t="s">
        <v>95</v>
      </c>
      <c r="C20" s="5" t="s">
        <v>609</v>
      </c>
      <c r="D20" s="5" t="s">
        <v>672</v>
      </c>
      <c r="G20" t="s">
        <v>29</v>
      </c>
      <c r="H20" t="s">
        <v>96</v>
      </c>
      <c r="I20" s="6" t="s">
        <v>97</v>
      </c>
      <c r="J20" s="6" t="str">
        <f>IF(ISBLANK(Tableau1[[#This Row],[courriel]]), "", HYPERLINK(_xlfn.CONCAT("https://teams.microsoft.com/l/chat/0/0?users=",Tableau1[[#This Row],[courriel]])))</f>
        <v>https://teams.microsoft.com/l/chat/0/0?users=marie-france.bernier@umontreal.ca</v>
      </c>
    </row>
    <row r="21" spans="1:10" x14ac:dyDescent="0.3">
      <c r="A21" s="5" t="s">
        <v>664</v>
      </c>
      <c r="B21" s="5" t="s">
        <v>665</v>
      </c>
      <c r="C21" s="5" t="s">
        <v>666</v>
      </c>
      <c r="D21" s="5" t="s">
        <v>27</v>
      </c>
      <c r="E21" s="5" t="s">
        <v>76</v>
      </c>
      <c r="F21" s="5" t="s">
        <v>667</v>
      </c>
      <c r="G21" t="s">
        <v>76</v>
      </c>
      <c r="H21" s="5"/>
      <c r="I21" s="6" t="s">
        <v>668</v>
      </c>
      <c r="J21" s="8" t="str">
        <f>IF(ISBLANK(Tableau1[[#This Row],[courriel]]), "", HYPERLINK(_xlfn.CONCAT("https://teams.microsoft.com/l/chat/0/0?users=",Tableau1[[#This Row],[courriel]])))</f>
        <v>https://teams.microsoft.com/l/chat/0/0?users=cathy.bingoye@umontreal.ca</v>
      </c>
    </row>
    <row r="22" spans="1:10" x14ac:dyDescent="0.3">
      <c r="A22" s="5" t="s">
        <v>98</v>
      </c>
      <c r="B22" s="5" t="s">
        <v>99</v>
      </c>
      <c r="C22" s="5" t="s">
        <v>100</v>
      </c>
      <c r="D22" s="5" t="s">
        <v>101</v>
      </c>
      <c r="E22" s="5" t="s">
        <v>76</v>
      </c>
      <c r="F22" s="5" t="s">
        <v>102</v>
      </c>
      <c r="G22" t="s">
        <v>93</v>
      </c>
      <c r="H22" s="5"/>
      <c r="I22" s="6" t="s">
        <v>103</v>
      </c>
      <c r="J22" s="6" t="str">
        <f>IF(ISBLANK(Tableau1[[#This Row],[courriel]]), "", HYPERLINK(_xlfn.CONCAT("https://teams.microsoft.com/l/chat/0/0?users=",Tableau1[[#This Row],[courriel]])))</f>
        <v>https://teams.microsoft.com/l/chat/0/0?users=simon.blais.longtin@umontreal.ca</v>
      </c>
    </row>
    <row r="23" spans="1:10" x14ac:dyDescent="0.3">
      <c r="A23" t="s">
        <v>704</v>
      </c>
      <c r="B23" t="s">
        <v>705</v>
      </c>
      <c r="C23" s="5"/>
      <c r="D23" t="s">
        <v>719</v>
      </c>
      <c r="E23" s="5" t="s">
        <v>76</v>
      </c>
      <c r="G23" t="s">
        <v>77</v>
      </c>
      <c r="I23" s="6" t="s">
        <v>706</v>
      </c>
      <c r="J23" s="8" t="str">
        <f>IF(ISBLANK(Tableau1[[#This Row],[courriel]]), "", HYPERLINK(_xlfn.CONCAT("https://teams.microsoft.com/l/chat/0/0?users=",Tableau1[[#This Row],[courriel]])))</f>
        <v>https://teams.microsoft.com/l/chat/0/0?users=guy.blondeau@umontreal.ca</v>
      </c>
    </row>
    <row r="24" spans="1:10" x14ac:dyDescent="0.3">
      <c r="A24" t="s">
        <v>104</v>
      </c>
      <c r="B24" t="s">
        <v>105</v>
      </c>
      <c r="C24" s="7" t="s">
        <v>106</v>
      </c>
      <c r="D24" t="s">
        <v>13</v>
      </c>
      <c r="F24" s="5" t="s">
        <v>107</v>
      </c>
      <c r="G24" t="s">
        <v>15</v>
      </c>
      <c r="H24" t="s">
        <v>108</v>
      </c>
      <c r="I24" t="s">
        <v>109</v>
      </c>
      <c r="J24" s="6" t="str">
        <f>IF(ISBLANK(Tableau1[[#This Row],[courriel]]), "", HYPERLINK(_xlfn.CONCAT("https://teams.microsoft.com/l/chat/0/0?users=",Tableau1[[#This Row],[courriel]])))</f>
        <v>https://teams.microsoft.com/l/chat/0/0?users=tatiana.talpa@umontreal.ca</v>
      </c>
    </row>
    <row r="25" spans="1:10" x14ac:dyDescent="0.3">
      <c r="A25" s="3" t="s">
        <v>110</v>
      </c>
      <c r="B25" s="3" t="s">
        <v>111</v>
      </c>
      <c r="C25" s="5"/>
      <c r="D25" s="3" t="s">
        <v>673</v>
      </c>
      <c r="E25" s="3" t="s">
        <v>58</v>
      </c>
      <c r="F25" s="3"/>
      <c r="H25" s="3" t="s">
        <v>112</v>
      </c>
      <c r="I25" s="14" t="s">
        <v>113</v>
      </c>
      <c r="J25" s="6" t="str">
        <f>IF(ISBLANK(Tableau1[[#This Row],[courriel]]), "", HYPERLINK(_xlfn.CONCAT("https://teams.microsoft.com/l/chat/0/0?users=",Tableau1[[#This Row],[courriel]])))</f>
        <v>https://teams.microsoft.com/l/chat/0/0?users=joanna.bodnar@umontreal.ca</v>
      </c>
    </row>
    <row r="26" spans="1:10" x14ac:dyDescent="0.3">
      <c r="A26" s="5" t="s">
        <v>114</v>
      </c>
      <c r="B26" s="5" t="s">
        <v>115</v>
      </c>
      <c r="C26" s="5" t="s">
        <v>116</v>
      </c>
      <c r="D26" s="5" t="s">
        <v>678</v>
      </c>
      <c r="E26" t="s">
        <v>117</v>
      </c>
      <c r="G26" s="5" t="s">
        <v>118</v>
      </c>
      <c r="H26" s="5" t="s">
        <v>119</v>
      </c>
      <c r="I26" s="5" t="s">
        <v>120</v>
      </c>
      <c r="J26" s="6" t="str">
        <f>IF(ISBLANK(Tableau1[[#This Row],[courriel]]), "", HYPERLINK(_xlfn.CONCAT("https://teams.microsoft.com/l/chat/0/0?users=",Tableau1[[#This Row],[courriel]])))</f>
        <v>https://teams.microsoft.com/l/chat/0/0?users=alain.borsi@umontreal.ca</v>
      </c>
    </row>
    <row r="27" spans="1:10" x14ac:dyDescent="0.3">
      <c r="A27" s="5" t="s">
        <v>121</v>
      </c>
      <c r="B27" s="5" t="s">
        <v>122</v>
      </c>
      <c r="C27" s="5" t="s">
        <v>123</v>
      </c>
      <c r="D27" s="5" t="s">
        <v>101</v>
      </c>
      <c r="E27" s="5"/>
      <c r="F27" s="5" t="s">
        <v>124</v>
      </c>
      <c r="G27" s="5" t="s">
        <v>125</v>
      </c>
      <c r="H27" s="5" t="s">
        <v>126</v>
      </c>
      <c r="I27" s="5" t="s">
        <v>127</v>
      </c>
      <c r="J27" s="6" t="str">
        <f>IF(ISBLANK(Tableau1[[#This Row],[courriel]]), "", HYPERLINK(_xlfn.CONCAT("https://teams.microsoft.com/l/chat/0/0?users=",Tableau1[[#This Row],[courriel]])))</f>
        <v>https://teams.microsoft.com/l/chat/0/0?users=eric.p.bouchard@umontreal.ca</v>
      </c>
    </row>
    <row r="28" spans="1:10" x14ac:dyDescent="0.3">
      <c r="A28" s="5" t="s">
        <v>128</v>
      </c>
      <c r="B28" s="5" t="s">
        <v>129</v>
      </c>
      <c r="C28" s="5" t="s">
        <v>130</v>
      </c>
      <c r="D28" s="5" t="s">
        <v>13</v>
      </c>
      <c r="E28" s="5"/>
      <c r="F28" s="5" t="s">
        <v>131</v>
      </c>
      <c r="G28" s="5" t="s">
        <v>87</v>
      </c>
      <c r="H28" s="5" t="s">
        <v>132</v>
      </c>
      <c r="I28" s="5" t="s">
        <v>133</v>
      </c>
      <c r="J28" s="6" t="str">
        <f>IF(ISBLANK(Tableau1[[#This Row],[courriel]]), "", HYPERLINK(_xlfn.CONCAT("https://teams.microsoft.com/l/chat/0/0?users=",Tableau1[[#This Row],[courriel]])))</f>
        <v>https://teams.microsoft.com/l/chat/0/0?users=refdroi@bib.umontreal.ca</v>
      </c>
    </row>
    <row r="29" spans="1:10" x14ac:dyDescent="0.3">
      <c r="A29" s="5" t="s">
        <v>134</v>
      </c>
      <c r="B29" s="5" t="s">
        <v>135</v>
      </c>
      <c r="C29" s="5" t="s">
        <v>593</v>
      </c>
      <c r="D29" s="5" t="s">
        <v>677</v>
      </c>
      <c r="E29" s="5" t="s">
        <v>69</v>
      </c>
      <c r="F29" t="s">
        <v>592</v>
      </c>
      <c r="G29" s="5" t="s">
        <v>738</v>
      </c>
      <c r="H29" s="5" t="s">
        <v>136</v>
      </c>
      <c r="I29" s="14" t="s">
        <v>137</v>
      </c>
      <c r="J29" s="6" t="str">
        <f>IF(ISBLANK(Tableau1[[#This Row],[courriel]]), "", HYPERLINK(_xlfn.CONCAT("https://teams.microsoft.com/l/chat/0/0?users=",Tableau1[[#This Row],[courriel]])))</f>
        <v>https://teams.microsoft.com/l/chat/0/0?users=myriam.boyer@umontreal.ca</v>
      </c>
    </row>
    <row r="30" spans="1:10" x14ac:dyDescent="0.3">
      <c r="A30" s="5" t="s">
        <v>138</v>
      </c>
      <c r="B30" s="5" t="s">
        <v>139</v>
      </c>
      <c r="C30" s="5" t="s">
        <v>606</v>
      </c>
      <c r="D30" s="5" t="s">
        <v>672</v>
      </c>
      <c r="E30" s="5" t="s">
        <v>69</v>
      </c>
      <c r="F30" s="5" t="s">
        <v>346</v>
      </c>
      <c r="G30" s="5" t="s">
        <v>738</v>
      </c>
      <c r="H30" s="5" t="s">
        <v>140</v>
      </c>
      <c r="I30" s="5" t="s">
        <v>141</v>
      </c>
      <c r="J30" s="6" t="str">
        <f>IF(ISBLANK(Tableau1[[#This Row],[courriel]]), "", HYPERLINK(_xlfn.CONCAT("https://teams.microsoft.com/l/chat/0/0?users=",Tableau1[[#This Row],[courriel]])))</f>
        <v>https://teams.microsoft.com/l/chat/0/0?users=guylaine.brazeau@umontreal.ca</v>
      </c>
    </row>
    <row r="31" spans="1:10" x14ac:dyDescent="0.3">
      <c r="A31" s="5" t="s">
        <v>669</v>
      </c>
      <c r="B31" s="5" t="s">
        <v>344</v>
      </c>
      <c r="C31" s="5" t="s">
        <v>735</v>
      </c>
      <c r="D31" s="5" t="s">
        <v>672</v>
      </c>
      <c r="E31" s="5"/>
      <c r="F31" s="5"/>
      <c r="G31" t="s">
        <v>29</v>
      </c>
      <c r="H31" s="5" t="s">
        <v>670</v>
      </c>
      <c r="I31" s="6" t="s">
        <v>671</v>
      </c>
      <c r="J31" s="8" t="str">
        <f>IF(ISBLANK(Tableau1[[#This Row],[courriel]]), "", HYPERLINK(_xlfn.CONCAT("https://teams.microsoft.com/l/chat/0/0?users=",Tableau1[[#This Row],[courriel]])))</f>
        <v>https://teams.microsoft.com/l/chat/0/0?users=anne-marie.brien.1@umontreal.ca</v>
      </c>
    </row>
    <row r="32" spans="1:10" x14ac:dyDescent="0.3">
      <c r="A32" s="5" t="s">
        <v>142</v>
      </c>
      <c r="B32" s="5" t="s">
        <v>143</v>
      </c>
      <c r="C32" s="5" t="s">
        <v>144</v>
      </c>
      <c r="D32" s="5" t="s">
        <v>678</v>
      </c>
      <c r="E32" s="5" t="s">
        <v>58</v>
      </c>
      <c r="F32" s="5"/>
      <c r="H32" s="5" t="s">
        <v>145</v>
      </c>
      <c r="I32" s="5" t="s">
        <v>146</v>
      </c>
      <c r="J32" s="6" t="str">
        <f>IF(ISBLANK(Tableau1[[#This Row],[courriel]]), "", HYPERLINK(_xlfn.CONCAT("https://teams.microsoft.com/l/chat/0/0?users=",Tableau1[[#This Row],[courriel]])))</f>
        <v>https://teams.microsoft.com/l/chat/0/0?users=sophie.brisebois@umontreal.ca</v>
      </c>
    </row>
    <row r="33" spans="1:10" x14ac:dyDescent="0.3">
      <c r="A33" s="5" t="s">
        <v>651</v>
      </c>
      <c r="B33" s="5" t="s">
        <v>652</v>
      </c>
      <c r="C33" s="5" t="s">
        <v>653</v>
      </c>
      <c r="D33" s="5" t="s">
        <v>13</v>
      </c>
      <c r="E33" t="s">
        <v>117</v>
      </c>
      <c r="F33" s="5" t="s">
        <v>654</v>
      </c>
      <c r="G33" t="s">
        <v>15</v>
      </c>
      <c r="H33" s="5" t="s">
        <v>655</v>
      </c>
      <c r="I33" s="6" t="s">
        <v>656</v>
      </c>
      <c r="J33" s="8" t="str">
        <f>IF(ISBLANK(Tableau1[[#This Row],[courriel]]), "", HYPERLINK(_xlfn.CONCAT("https://teams.microsoft.com/l/chat/0/0?users=",Tableau1[[#This Row],[courriel]])))</f>
        <v>https://teams.microsoft.com/l/chat/0/0?users=tanya.buchet@umontreal.ca</v>
      </c>
    </row>
    <row r="34" spans="1:10" x14ac:dyDescent="0.3">
      <c r="A34" t="s">
        <v>147</v>
      </c>
      <c r="B34" t="s">
        <v>148</v>
      </c>
      <c r="C34" t="s">
        <v>603</v>
      </c>
      <c r="D34" s="5" t="s">
        <v>672</v>
      </c>
      <c r="G34" t="s">
        <v>29</v>
      </c>
      <c r="H34" t="s">
        <v>149</v>
      </c>
      <c r="I34" s="6" t="s">
        <v>150</v>
      </c>
      <c r="J34" s="6" t="str">
        <f>IF(ISBLANK(Tableau1[[#This Row],[courriel]]), "", HYPERLINK(_xlfn.CONCAT("https://teams.microsoft.com/l/chat/0/0?users=",Tableau1[[#This Row],[courriel]])))</f>
        <v>https://teams.microsoft.com/l/chat/0/0?users=fanny.c.brochu@umontreal.ca</v>
      </c>
    </row>
    <row r="35" spans="1:10" x14ac:dyDescent="0.3">
      <c r="A35" t="s">
        <v>713</v>
      </c>
      <c r="B35" t="s">
        <v>714</v>
      </c>
      <c r="C35" s="5"/>
      <c r="D35" t="s">
        <v>719</v>
      </c>
      <c r="E35" s="5" t="s">
        <v>76</v>
      </c>
      <c r="G35" t="s">
        <v>77</v>
      </c>
      <c r="H35" t="s">
        <v>711</v>
      </c>
      <c r="I35" s="6" t="s">
        <v>715</v>
      </c>
      <c r="J35" s="8" t="str">
        <f>IF(ISBLANK(Tableau1[[#This Row],[courriel]]), "", HYPERLINK(_xlfn.CONCAT("https://teams.microsoft.com/l/chat/0/0?users=",Tableau1[[#This Row],[courriel]])))</f>
        <v>https://teams.microsoft.com/l/chat/0/0?users=thierry.caballero@umontreal.ca</v>
      </c>
    </row>
    <row r="36" spans="1:10" x14ac:dyDescent="0.3">
      <c r="A36" s="5" t="s">
        <v>151</v>
      </c>
      <c r="B36" s="5" t="s">
        <v>152</v>
      </c>
      <c r="C36" s="5" t="s">
        <v>602</v>
      </c>
      <c r="D36" s="5" t="s">
        <v>13</v>
      </c>
      <c r="E36" s="5" t="s">
        <v>117</v>
      </c>
      <c r="F36" t="s">
        <v>734</v>
      </c>
      <c r="G36" s="5" t="s">
        <v>154</v>
      </c>
      <c r="H36" s="5" t="s">
        <v>155</v>
      </c>
      <c r="I36" s="6" t="s">
        <v>156</v>
      </c>
      <c r="J36" s="6" t="str">
        <f>IF(ISBLANK(Tableau1[[#This Row],[courriel]]), "", HYPERLINK(_xlfn.CONCAT("https://teams.microsoft.com/l/chat/0/0?users=",Tableau1[[#This Row],[courriel]])))</f>
        <v>https://teams.microsoft.com/l/chat/0/0?users=delphine.cado@umontreal.ca</v>
      </c>
    </row>
    <row r="37" spans="1:10" x14ac:dyDescent="0.3">
      <c r="A37" s="5" t="s">
        <v>157</v>
      </c>
      <c r="B37" s="5" t="s">
        <v>158</v>
      </c>
      <c r="C37" s="5" t="s">
        <v>604</v>
      </c>
      <c r="D37" s="5" t="s">
        <v>672</v>
      </c>
      <c r="E37" s="5"/>
      <c r="F37" s="5"/>
      <c r="G37" s="5" t="s">
        <v>159</v>
      </c>
      <c r="H37" s="5" t="s">
        <v>160</v>
      </c>
      <c r="I37" s="5" t="s">
        <v>161</v>
      </c>
      <c r="J37" s="6" t="str">
        <f>IF(ISBLANK(Tableau1[[#This Row],[courriel]]), "", HYPERLINK(_xlfn.CONCAT("https://teams.microsoft.com/l/chat/0/0?users=",Tableau1[[#This Row],[courriel]])))</f>
        <v>https://teams.microsoft.com/l/chat/0/0?users=siv.kham.chao@umontreal.ca</v>
      </c>
    </row>
    <row r="38" spans="1:10" x14ac:dyDescent="0.3">
      <c r="A38" s="5" t="s">
        <v>162</v>
      </c>
      <c r="B38" s="5" t="s">
        <v>163</v>
      </c>
      <c r="C38" s="5" t="s">
        <v>164</v>
      </c>
      <c r="D38" s="5" t="s">
        <v>153</v>
      </c>
      <c r="E38" s="5" t="s">
        <v>69</v>
      </c>
      <c r="F38" s="5" t="s">
        <v>165</v>
      </c>
      <c r="G38" t="s">
        <v>166</v>
      </c>
      <c r="H38" s="5"/>
      <c r="I38" s="6" t="s">
        <v>167</v>
      </c>
      <c r="J38" s="6" t="str">
        <f>IF(ISBLANK(Tableau1[[#This Row],[courriel]]), "", HYPERLINK(_xlfn.CONCAT("https://teams.microsoft.com/l/chat/0/0?users=",Tableau1[[#This Row],[courriel]])))</f>
        <v>https://teams.microsoft.com/l/chat/0/0?users=laurence.charest@umontreal.ca</v>
      </c>
    </row>
    <row r="39" spans="1:10" x14ac:dyDescent="0.3">
      <c r="A39" t="s">
        <v>169</v>
      </c>
      <c r="B39" t="s">
        <v>170</v>
      </c>
      <c r="D39" s="5" t="s">
        <v>672</v>
      </c>
      <c r="G39" t="s">
        <v>578</v>
      </c>
      <c r="H39" s="5" t="s">
        <v>171</v>
      </c>
      <c r="I39" s="6" t="s">
        <v>172</v>
      </c>
      <c r="J39" s="6" t="str">
        <f>IF(ISBLANK(Tableau1[[#This Row],[courriel]]), "", HYPERLINK(_xlfn.CONCAT("https://teams.microsoft.com/l/chat/0/0?users=",Tableau1[[#This Row],[courriel]])))</f>
        <v>https://teams.microsoft.com/l/chat/0/0?users=annick.charette@umontreal.ca</v>
      </c>
    </row>
    <row r="40" spans="1:10" x14ac:dyDescent="0.3">
      <c r="A40" t="s">
        <v>716</v>
      </c>
      <c r="B40" t="s">
        <v>717</v>
      </c>
      <c r="C40" s="5"/>
      <c r="D40" t="s">
        <v>719</v>
      </c>
      <c r="E40" s="5" t="s">
        <v>76</v>
      </c>
      <c r="G40" t="s">
        <v>77</v>
      </c>
      <c r="H40" t="s">
        <v>711</v>
      </c>
      <c r="I40" t="s">
        <v>718</v>
      </c>
      <c r="J40" s="8" t="str">
        <f>IF(ISBLANK(Tableau1[[#This Row],[courriel]]), "", HYPERLINK(_xlfn.CONCAT("https://teams.microsoft.com/l/chat/0/0?users=",Tableau1[[#This Row],[courriel]])))</f>
        <v>https://teams.microsoft.com/l/chat/0/0?users=wassif.cheikh@umontreal.ca</v>
      </c>
    </row>
    <row r="41" spans="1:10" x14ac:dyDescent="0.3">
      <c r="A41" s="5" t="s">
        <v>173</v>
      </c>
      <c r="B41" s="5" t="s">
        <v>174</v>
      </c>
      <c r="C41" s="5"/>
      <c r="D41" s="5" t="s">
        <v>674</v>
      </c>
      <c r="E41" s="9" t="s">
        <v>58</v>
      </c>
      <c r="G41" t="s">
        <v>58</v>
      </c>
      <c r="H41" s="3" t="s">
        <v>662</v>
      </c>
      <c r="I41" s="6" t="s">
        <v>661</v>
      </c>
      <c r="J41" s="6" t="str">
        <f>IF(ISBLANK(Tableau1[[#This Row],[courriel]]), "", HYPERLINK(_xlfn.CONCAT("https://teams.microsoft.com/l/chat/0/0?users=",Tableau1[[#This Row],[courriel]])))</f>
        <v>https://teams.microsoft.com/l/chat/0/0?users=mailto:thien-huong.che-quang@umontreal.ca</v>
      </c>
    </row>
    <row r="42" spans="1:10" x14ac:dyDescent="0.3">
      <c r="A42" s="5" t="s">
        <v>175</v>
      </c>
      <c r="B42" s="5" t="s">
        <v>176</v>
      </c>
      <c r="C42" s="5" t="s">
        <v>177</v>
      </c>
      <c r="D42" s="5" t="s">
        <v>13</v>
      </c>
      <c r="E42" s="5"/>
      <c r="F42" s="5" t="s">
        <v>178</v>
      </c>
      <c r="G42" s="5" t="s">
        <v>154</v>
      </c>
      <c r="H42" s="5" t="s">
        <v>179</v>
      </c>
      <c r="I42" s="5" t="s">
        <v>180</v>
      </c>
      <c r="J42" s="6" t="str">
        <f>IF(ISBLANK(Tableau1[[#This Row],[courriel]]), "", HYPERLINK(_xlfn.CONCAT("https://teams.microsoft.com/l/chat/0/0?users=",Tableau1[[#This Row],[courriel]])))</f>
        <v>https://teams.microsoft.com/l/chat/0/0?users=sarah.cherrier@umontreal.ca</v>
      </c>
    </row>
    <row r="43" spans="1:10" x14ac:dyDescent="0.3">
      <c r="A43" s="5" t="s">
        <v>181</v>
      </c>
      <c r="B43" s="5" t="s">
        <v>182</v>
      </c>
      <c r="C43" s="5" t="s">
        <v>183</v>
      </c>
      <c r="D43" s="5" t="s">
        <v>679</v>
      </c>
      <c r="E43" s="5" t="s">
        <v>76</v>
      </c>
      <c r="F43" s="5" t="s">
        <v>184</v>
      </c>
      <c r="H43" s="5" t="s">
        <v>185</v>
      </c>
      <c r="I43" s="5" t="s">
        <v>186</v>
      </c>
      <c r="J43" s="6" t="str">
        <f>IF(ISBLANK(Tableau1[[#This Row],[courriel]]), "", HYPERLINK(_xlfn.CONCAT("https://teams.microsoft.com/l/chat/0/0?users=",Tableau1[[#This Row],[courriel]])))</f>
        <v>https://teams.microsoft.com/l/chat/0/0?users=emir.chouchane@umontreal.ca</v>
      </c>
    </row>
    <row r="44" spans="1:10" x14ac:dyDescent="0.3">
      <c r="A44" s="5" t="s">
        <v>187</v>
      </c>
      <c r="B44" s="5" t="s">
        <v>188</v>
      </c>
      <c r="C44" s="5" t="s">
        <v>632</v>
      </c>
      <c r="D44" s="5" t="s">
        <v>27</v>
      </c>
      <c r="E44" s="5"/>
      <c r="F44" s="5" t="s">
        <v>189</v>
      </c>
      <c r="G44" s="5" t="s">
        <v>29</v>
      </c>
      <c r="H44" s="5" t="s">
        <v>190</v>
      </c>
      <c r="I44" s="5" t="s">
        <v>191</v>
      </c>
      <c r="J44" s="6" t="str">
        <f>IF(ISBLANK(Tableau1[[#This Row],[courriel]]), "", HYPERLINK(_xlfn.CONCAT("https://teams.microsoft.com/l/chat/0/0?users=",Tableau1[[#This Row],[courriel]])))</f>
        <v>https://teams.microsoft.com/l/chat/0/0?users=accessibilite@bib.umontreal.ca</v>
      </c>
    </row>
    <row r="45" spans="1:10" x14ac:dyDescent="0.3">
      <c r="A45" s="5" t="s">
        <v>192</v>
      </c>
      <c r="B45" s="5" t="s">
        <v>193</v>
      </c>
      <c r="C45" s="5" t="s">
        <v>194</v>
      </c>
      <c r="D45" s="5" t="s">
        <v>677</v>
      </c>
      <c r="E45" t="s">
        <v>195</v>
      </c>
      <c r="F45" t="s">
        <v>196</v>
      </c>
      <c r="G45" s="5" t="s">
        <v>577</v>
      </c>
      <c r="H45" s="5" t="s">
        <v>197</v>
      </c>
      <c r="I45" s="5" t="s">
        <v>198</v>
      </c>
      <c r="J45" s="6" t="str">
        <f>IF(ISBLANK(Tableau1[[#This Row],[courriel]]), "", HYPERLINK(_xlfn.CONCAT("https://teams.microsoft.com/l/chat/0/0?users=",Tableau1[[#This Row],[courriel]])))</f>
        <v>https://teams.microsoft.com/l/chat/0/0?users=benjamin.constantineau@umontreal.ca</v>
      </c>
    </row>
    <row r="46" spans="1:10" x14ac:dyDescent="0.3">
      <c r="A46" s="5" t="s">
        <v>199</v>
      </c>
      <c r="B46" s="5" t="s">
        <v>200</v>
      </c>
      <c r="C46" s="5" t="s">
        <v>201</v>
      </c>
      <c r="D46" s="5" t="s">
        <v>13</v>
      </c>
      <c r="E46" s="5"/>
      <c r="F46" s="5" t="s">
        <v>202</v>
      </c>
      <c r="G46" s="5" t="s">
        <v>154</v>
      </c>
      <c r="H46" s="5" t="s">
        <v>203</v>
      </c>
      <c r="I46" s="5" t="s">
        <v>204</v>
      </c>
      <c r="J46" s="6" t="str">
        <f>IF(ISBLANK(Tableau1[[#This Row],[courriel]]), "", HYPERLINK(_xlfn.CONCAT("https://teams.microsoft.com/l/chat/0/0?users=",Tableau1[[#This Row],[courriel]])))</f>
        <v>https://teams.microsoft.com/l/chat/0/0?users=simon-pierre.crevier@umontreal.ca</v>
      </c>
    </row>
    <row r="47" spans="1:10" x14ac:dyDescent="0.3">
      <c r="A47" s="5" t="s">
        <v>205</v>
      </c>
      <c r="B47" s="5" t="s">
        <v>206</v>
      </c>
      <c r="C47" s="5" t="s">
        <v>623</v>
      </c>
      <c r="D47" s="5" t="s">
        <v>13</v>
      </c>
      <c r="E47" s="5"/>
      <c r="F47" s="5" t="s">
        <v>736</v>
      </c>
      <c r="G47" s="5" t="s">
        <v>52</v>
      </c>
      <c r="H47" s="5" t="s">
        <v>207</v>
      </c>
      <c r="I47" s="14" t="s">
        <v>208</v>
      </c>
      <c r="J47" s="6" t="str">
        <f>IF(ISBLANK(Tableau1[[#This Row],[courriel]]), "", HYPERLINK(_xlfn.CONCAT("https://teams.microsoft.com/l/chat/0/0?users=",Tableau1[[#This Row],[courriel]])))</f>
        <v>https://teams.microsoft.com/l/chat/0/0?users=marc-olivier.croteau@umontreal.ca</v>
      </c>
    </row>
    <row r="48" spans="1:10" x14ac:dyDescent="0.3">
      <c r="A48" s="5" t="s">
        <v>209</v>
      </c>
      <c r="B48" s="5" t="s">
        <v>210</v>
      </c>
      <c r="C48" s="5" t="s">
        <v>211</v>
      </c>
      <c r="D48" s="5" t="s">
        <v>13</v>
      </c>
      <c r="E48" s="5"/>
      <c r="F48" s="5" t="s">
        <v>212</v>
      </c>
      <c r="G48" s="5" t="s">
        <v>29</v>
      </c>
      <c r="H48" s="5" t="s">
        <v>213</v>
      </c>
      <c r="I48" s="5" t="s">
        <v>214</v>
      </c>
      <c r="J48" s="6" t="str">
        <f>IF(ISBLANK(Tableau1[[#This Row],[courriel]]), "", HYPERLINK(_xlfn.CONCAT("https://teams.microsoft.com/l/chat/0/0?users=",Tableau1[[#This Row],[courriel]])))</f>
        <v>https://teams.microsoft.com/l/chat/0/0?users=emilie.dalpe@umontreal.ca</v>
      </c>
    </row>
    <row r="49" spans="1:10" x14ac:dyDescent="0.3">
      <c r="A49" s="5" t="s">
        <v>215</v>
      </c>
      <c r="B49" s="5" t="s">
        <v>216</v>
      </c>
      <c r="C49" s="5" t="s">
        <v>217</v>
      </c>
      <c r="D49" s="5" t="s">
        <v>678</v>
      </c>
      <c r="E49" s="5"/>
      <c r="F49" t="s">
        <v>219</v>
      </c>
      <c r="G49" s="5" t="s">
        <v>218</v>
      </c>
      <c r="H49" s="5" t="s">
        <v>220</v>
      </c>
      <c r="I49" s="14" t="s">
        <v>221</v>
      </c>
      <c r="J49" s="6" t="str">
        <f>IF(ISBLANK(Tableau1[[#This Row],[courriel]]), "", HYPERLINK(_xlfn.CONCAT("https://teams.microsoft.com/l/chat/0/0?users=",Tableau1[[#This Row],[courriel]])))</f>
        <v>https://teams.microsoft.com/l/chat/0/0?users=morgane.de.bellefeuille@umontreal.ca</v>
      </c>
    </row>
    <row r="50" spans="1:10" x14ac:dyDescent="0.3">
      <c r="A50" s="5" t="s">
        <v>222</v>
      </c>
      <c r="B50" s="5" t="s">
        <v>223</v>
      </c>
      <c r="C50" s="5" t="s">
        <v>224</v>
      </c>
      <c r="D50" s="5" t="s">
        <v>13</v>
      </c>
      <c r="E50" s="5"/>
      <c r="F50" s="5" t="s">
        <v>225</v>
      </c>
      <c r="G50" s="5" t="s">
        <v>578</v>
      </c>
      <c r="H50" s="5" t="s">
        <v>226</v>
      </c>
      <c r="I50" s="5" t="s">
        <v>227</v>
      </c>
      <c r="J50" s="6" t="str">
        <f>IF(ISBLANK(Tableau1[[#This Row],[courriel]]), "", HYPERLINK(_xlfn.CONCAT("https://teams.microsoft.com/l/chat/0/0?users=",Tableau1[[#This Row],[courriel]])))</f>
        <v>https://teams.microsoft.com/l/chat/0/0?users=Indiana.delsart@umontreal.ca</v>
      </c>
    </row>
    <row r="51" spans="1:10" x14ac:dyDescent="0.3">
      <c r="A51" s="5" t="s">
        <v>228</v>
      </c>
      <c r="B51" s="5" t="s">
        <v>229</v>
      </c>
      <c r="C51" s="5" t="s">
        <v>230</v>
      </c>
      <c r="D51" s="5" t="s">
        <v>13</v>
      </c>
      <c r="E51" s="5"/>
      <c r="F51" s="5" t="s">
        <v>231</v>
      </c>
      <c r="G51" s="5" t="s">
        <v>52</v>
      </c>
      <c r="H51" s="5" t="s">
        <v>232</v>
      </c>
      <c r="I51" s="5" t="s">
        <v>233</v>
      </c>
      <c r="J51" s="6" t="str">
        <f>IF(ISBLANK(Tableau1[[#This Row],[courriel]]), "", HYPERLINK(_xlfn.CONCAT("https://teams.microsoft.com/l/chat/0/0?users=",Tableau1[[#This Row],[courriel]])))</f>
        <v>https://teams.microsoft.com/l/chat/0/0?users=dominic.desaulniers@umontreal.ca</v>
      </c>
    </row>
    <row r="52" spans="1:10" x14ac:dyDescent="0.3">
      <c r="A52" s="5" t="s">
        <v>234</v>
      </c>
      <c r="B52" s="5" t="s">
        <v>235</v>
      </c>
      <c r="C52" s="5" t="s">
        <v>614</v>
      </c>
      <c r="D52" s="3" t="s">
        <v>673</v>
      </c>
      <c r="E52" s="5"/>
      <c r="F52" s="5"/>
      <c r="G52" s="5" t="s">
        <v>236</v>
      </c>
      <c r="H52" s="5" t="s">
        <v>237</v>
      </c>
      <c r="I52" s="5" t="s">
        <v>238</v>
      </c>
      <c r="J52" s="6" t="str">
        <f>IF(ISBLANK(Tableau1[[#This Row],[courriel]]), "", HYPERLINK(_xlfn.CONCAT("https://teams.microsoft.com/l/chat/0/0?users=",Tableau1[[#This Row],[courriel]])))</f>
        <v>https://teams.microsoft.com/l/chat/0/0?users=chantal.desrosiers@umontreal.ca</v>
      </c>
    </row>
    <row r="53" spans="1:10" x14ac:dyDescent="0.3">
      <c r="A53" t="s">
        <v>239</v>
      </c>
      <c r="B53" t="s">
        <v>240</v>
      </c>
      <c r="C53" t="s">
        <v>631</v>
      </c>
      <c r="D53" s="5" t="s">
        <v>672</v>
      </c>
      <c r="G53" t="s">
        <v>29</v>
      </c>
      <c r="H53" s="3" t="s">
        <v>241</v>
      </c>
      <c r="I53" s="6" t="s">
        <v>242</v>
      </c>
      <c r="J53" s="6" t="str">
        <f>IF(ISBLANK(Tableau1[[#This Row],[courriel]]), "", HYPERLINK(_xlfn.CONCAT("https://teams.microsoft.com/l/chat/0/0?users=",Tableau1[[#This Row],[courriel]])))</f>
        <v>https://teams.microsoft.com/l/chat/0/0?users=anne.dubois.mercier@umontreal.ca</v>
      </c>
    </row>
    <row r="54" spans="1:10" x14ac:dyDescent="0.3">
      <c r="A54" s="5" t="s">
        <v>243</v>
      </c>
      <c r="B54" s="5" t="s">
        <v>244</v>
      </c>
      <c r="C54" s="5" t="s">
        <v>245</v>
      </c>
      <c r="D54" s="5" t="s">
        <v>13</v>
      </c>
      <c r="E54" s="5"/>
      <c r="F54" s="5" t="s">
        <v>246</v>
      </c>
      <c r="G54" s="5" t="s">
        <v>52</v>
      </c>
      <c r="H54" s="5" t="s">
        <v>247</v>
      </c>
      <c r="I54" s="14" t="s">
        <v>248</v>
      </c>
      <c r="J54" s="6" t="str">
        <f>IF(ISBLANK(Tableau1[[#This Row],[courriel]]), "", HYPERLINK(_xlfn.CONCAT("https://teams.microsoft.com/l/chat/0/0?users=",Tableau1[[#This Row],[courriel]])))</f>
        <v>https://teams.microsoft.com/l/chat/0/0?users=jean-francois.durnin@umontreal.ca</v>
      </c>
    </row>
    <row r="55" spans="1:10" x14ac:dyDescent="0.3">
      <c r="A55" s="5" t="s">
        <v>646</v>
      </c>
      <c r="B55" s="5" t="s">
        <v>647</v>
      </c>
      <c r="C55" s="5"/>
      <c r="D55" s="5" t="s">
        <v>27</v>
      </c>
      <c r="E55" s="5" t="s">
        <v>117</v>
      </c>
      <c r="F55" s="5" t="s">
        <v>648</v>
      </c>
      <c r="G55" s="5" t="s">
        <v>15</v>
      </c>
      <c r="H55" s="5" t="s">
        <v>649</v>
      </c>
      <c r="I55" s="6" t="s">
        <v>650</v>
      </c>
      <c r="J55" s="8" t="str">
        <f>IF(ISBLANK(Tableau1[[#This Row],[courriel]]), "", HYPERLINK(_xlfn.CONCAT("https://teams.microsoft.com/l/chat/0/0?users=",Tableau1[[#This Row],[courriel]])))</f>
        <v>https://teams.microsoft.com/l/chat/0/0?users=taline.ekmekjian@umontreal.ca</v>
      </c>
    </row>
    <row r="56" spans="1:10" x14ac:dyDescent="0.3">
      <c r="A56" t="s">
        <v>249</v>
      </c>
      <c r="B56" t="s">
        <v>250</v>
      </c>
      <c r="C56" s="5" t="s">
        <v>619</v>
      </c>
      <c r="D56" s="5" t="s">
        <v>672</v>
      </c>
      <c r="G56" t="s">
        <v>29</v>
      </c>
      <c r="H56" t="s">
        <v>251</v>
      </c>
      <c r="I56" s="6" t="s">
        <v>252</v>
      </c>
      <c r="J56" s="6" t="str">
        <f>IF(ISBLANK(Tableau1[[#This Row],[courriel]]), "", HYPERLINK(_xlfn.CONCAT("https://teams.microsoft.com/l/chat/0/0?users=",Tableau1[[#This Row],[courriel]])))</f>
        <v>https://teams.microsoft.com/l/chat/0/0?users=judith.fafard-larose@umontreal.ca</v>
      </c>
    </row>
    <row r="57" spans="1:10" x14ac:dyDescent="0.3">
      <c r="A57" s="5" t="s">
        <v>253</v>
      </c>
      <c r="B57" s="5" t="s">
        <v>254</v>
      </c>
      <c r="C57" s="5" t="s">
        <v>255</v>
      </c>
      <c r="D57" s="5" t="s">
        <v>677</v>
      </c>
      <c r="E57" s="5" t="s">
        <v>117</v>
      </c>
      <c r="F57" s="5" t="s">
        <v>41</v>
      </c>
      <c r="G57" s="5" t="s">
        <v>118</v>
      </c>
      <c r="H57" s="5" t="s">
        <v>256</v>
      </c>
      <c r="I57" s="5" t="s">
        <v>257</v>
      </c>
      <c r="J57" s="6" t="str">
        <f>IF(ISBLANK(Tableau1[[#This Row],[courriel]]), "", HYPERLINK(_xlfn.CONCAT("https://teams.microsoft.com/l/chat/0/0?users=",Tableau1[[#This Row],[courriel]])))</f>
        <v>https://teams.microsoft.com/l/chat/0/0?users=sylvie.fontaine.1@umontreal.ca</v>
      </c>
    </row>
    <row r="58" spans="1:10" ht="28.8" x14ac:dyDescent="0.3">
      <c r="A58" s="5" t="s">
        <v>258</v>
      </c>
      <c r="B58" s="5" t="s">
        <v>259</v>
      </c>
      <c r="C58" s="5" t="s">
        <v>260</v>
      </c>
      <c r="D58" s="5" t="s">
        <v>677</v>
      </c>
      <c r="E58" s="10" t="s">
        <v>261</v>
      </c>
      <c r="F58" s="5" t="s">
        <v>41</v>
      </c>
      <c r="G58" s="5" t="s">
        <v>29</v>
      </c>
      <c r="H58" s="5" t="s">
        <v>262</v>
      </c>
      <c r="I58" s="5" t="s">
        <v>263</v>
      </c>
      <c r="J58" s="6" t="str">
        <f>IF(ISBLANK(Tableau1[[#This Row],[courriel]]), "", HYPERLINK(_xlfn.CONCAT("https://teams.microsoft.com/l/chat/0/0?users=",Tableau1[[#This Row],[courriel]])))</f>
        <v>https://teams.microsoft.com/l/chat/0/0?users=c.fortier@umontreal.ca</v>
      </c>
    </row>
    <row r="59" spans="1:10" x14ac:dyDescent="0.3">
      <c r="A59" s="5" t="s">
        <v>264</v>
      </c>
      <c r="B59" s="5" t="s">
        <v>265</v>
      </c>
      <c r="C59" s="5"/>
      <c r="D59" s="5" t="s">
        <v>672</v>
      </c>
      <c r="E59" s="5"/>
      <c r="F59" s="5"/>
      <c r="G59" s="5" t="s">
        <v>267</v>
      </c>
      <c r="H59" s="5" t="s">
        <v>268</v>
      </c>
      <c r="I59" s="14" t="s">
        <v>269</v>
      </c>
      <c r="J59" s="6" t="str">
        <f>IF(ISBLANK(Tableau1[[#This Row],[courriel]]), "", HYPERLINK(_xlfn.CONCAT("https://teams.microsoft.com/l/chat/0/0?users=",Tableau1[[#This Row],[courriel]])))</f>
        <v>https://teams.microsoft.com/l/chat/0/0?users=7077duParc@bib.umontreal.ca</v>
      </c>
    </row>
    <row r="60" spans="1:10" x14ac:dyDescent="0.3">
      <c r="A60" s="5" t="s">
        <v>270</v>
      </c>
      <c r="B60" s="5" t="s">
        <v>271</v>
      </c>
      <c r="C60" s="5" t="s">
        <v>272</v>
      </c>
      <c r="D60" s="5" t="s">
        <v>13</v>
      </c>
      <c r="E60" s="5"/>
      <c r="F60" s="5" t="s">
        <v>273</v>
      </c>
      <c r="G60" s="5" t="s">
        <v>29</v>
      </c>
      <c r="H60" s="5" t="s">
        <v>274</v>
      </c>
      <c r="I60" s="5" t="s">
        <v>275</v>
      </c>
      <c r="J60" s="6" t="str">
        <f>IF(ISBLANK(Tableau1[[#This Row],[courriel]]), "", HYPERLINK(_xlfn.CONCAT("https://teams.microsoft.com/l/chat/0/0?users=",Tableau1[[#This Row],[courriel]])))</f>
        <v>https://teams.microsoft.com/l/chat/0/0?users=nino.gabrielli@umontreal.ca</v>
      </c>
    </row>
    <row r="61" spans="1:10" x14ac:dyDescent="0.3">
      <c r="A61" s="5" t="s">
        <v>276</v>
      </c>
      <c r="B61" s="5" t="s">
        <v>277</v>
      </c>
      <c r="C61" s="5" t="s">
        <v>625</v>
      </c>
      <c r="D61" s="5" t="s">
        <v>679</v>
      </c>
      <c r="E61" s="5"/>
      <c r="F61" s="5" t="s">
        <v>278</v>
      </c>
      <c r="G61" s="5" t="s">
        <v>218</v>
      </c>
      <c r="H61" s="5"/>
      <c r="I61" s="14" t="s">
        <v>279</v>
      </c>
      <c r="J61" s="6" t="str">
        <f>IF(ISBLANK(Tableau1[[#This Row],[courriel]]), "", HYPERLINK(_xlfn.CONCAT("https://teams.microsoft.com/l/chat/0/0?users=",Tableau1[[#This Row],[courriel]])))</f>
        <v>https://teams.microsoft.com/l/chat/0/0?users=marie-pierre.gadoua@umontreal.ca</v>
      </c>
    </row>
    <row r="62" spans="1:10" x14ac:dyDescent="0.3">
      <c r="A62" s="5" t="s">
        <v>280</v>
      </c>
      <c r="B62" s="5" t="s">
        <v>281</v>
      </c>
      <c r="C62" s="5" t="s">
        <v>282</v>
      </c>
      <c r="D62" s="5" t="s">
        <v>13</v>
      </c>
      <c r="E62" s="5"/>
      <c r="F62" s="5" t="s">
        <v>283</v>
      </c>
      <c r="G62" s="5" t="s">
        <v>284</v>
      </c>
      <c r="H62" s="5" t="s">
        <v>285</v>
      </c>
      <c r="I62" s="5" t="s">
        <v>286</v>
      </c>
      <c r="J62" s="6" t="str">
        <f>IF(ISBLANK(Tableau1[[#This Row],[courriel]]), "", HYPERLINK(_xlfn.CONCAT("https://teams.microsoft.com/l/chat/0/0?users=",Tableau1[[#This Row],[courriel]])))</f>
        <v>https://teams.microsoft.com/l/chat/0/0?users=cynthia.gagne.2@umontreal.ca</v>
      </c>
    </row>
    <row r="63" spans="1:10" x14ac:dyDescent="0.3">
      <c r="A63" s="5" t="s">
        <v>287</v>
      </c>
      <c r="B63" s="5" t="s">
        <v>291</v>
      </c>
      <c r="C63" s="5"/>
      <c r="D63" s="3" t="s">
        <v>673</v>
      </c>
      <c r="E63" s="5" t="s">
        <v>117</v>
      </c>
      <c r="F63" s="5"/>
      <c r="H63" s="5" t="s">
        <v>119</v>
      </c>
      <c r="I63" s="5" t="s">
        <v>292</v>
      </c>
      <c r="J63" s="6" t="str">
        <f>IF(ISBLANK(Tableau1[[#This Row],[courriel]]), "", HYPERLINK(_xlfn.CONCAT("https://teams.microsoft.com/l/chat/0/0?users=",Tableau1[[#This Row],[courriel]])))</f>
        <v>https://teams.microsoft.com/l/chat/0/0?users=diane.gagnon@umontreal.ca</v>
      </c>
    </row>
    <row r="64" spans="1:10" x14ac:dyDescent="0.3">
      <c r="A64" s="5" t="s">
        <v>287</v>
      </c>
      <c r="B64" s="5" t="s">
        <v>288</v>
      </c>
      <c r="C64" s="5" t="s">
        <v>289</v>
      </c>
      <c r="D64" s="5" t="s">
        <v>681</v>
      </c>
      <c r="E64" s="5" t="s">
        <v>236</v>
      </c>
      <c r="F64" s="5"/>
      <c r="H64" s="5" t="s">
        <v>237</v>
      </c>
      <c r="I64" s="5" t="s">
        <v>290</v>
      </c>
      <c r="J64" s="6" t="str">
        <f>IF(ISBLANK(Tableau1[[#This Row],[courriel]]), "", HYPERLINK(_xlfn.CONCAT("https://teams.microsoft.com/l/chat/0/0?users=",Tableau1[[#This Row],[courriel]])))</f>
        <v>https://teams.microsoft.com/l/chat/0/0?users=stephanie.gagnon@umontreal.ca</v>
      </c>
    </row>
    <row r="65" spans="1:10" x14ac:dyDescent="0.3">
      <c r="A65" t="s">
        <v>752</v>
      </c>
      <c r="B65" s="5" t="s">
        <v>540</v>
      </c>
      <c r="C65" s="5"/>
      <c r="D65" s="5" t="s">
        <v>13</v>
      </c>
      <c r="E65" s="5"/>
      <c r="F65" s="5" t="s">
        <v>131</v>
      </c>
      <c r="G65" t="s">
        <v>87</v>
      </c>
      <c r="H65" s="5" t="s">
        <v>132</v>
      </c>
      <c r="I65" s="5" t="s">
        <v>753</v>
      </c>
      <c r="J65" s="8" t="str">
        <f>IF(ISBLANK(Tableau1[[#This Row],[courriel]]), "", HYPERLINK(_xlfn.CONCAT("https://teams.microsoft.com/l/chat/0/0?users=",Tableau1[[#This Row],[courriel]])))</f>
        <v>https://teams.microsoft.com/l/chat/0/0?users=thomas.gagnon-van.leeuwen@umontreal.ca</v>
      </c>
    </row>
    <row r="66" spans="1:10" x14ac:dyDescent="0.3">
      <c r="A66" s="5" t="s">
        <v>293</v>
      </c>
      <c r="B66" s="5" t="s">
        <v>294</v>
      </c>
      <c r="C66" s="5" t="s">
        <v>295</v>
      </c>
      <c r="D66" s="5" t="s">
        <v>27</v>
      </c>
      <c r="E66" s="5" t="s">
        <v>76</v>
      </c>
      <c r="F66" s="5" t="s">
        <v>296</v>
      </c>
      <c r="H66" s="5" t="s">
        <v>297</v>
      </c>
      <c r="I66" s="14" t="s">
        <v>298</v>
      </c>
      <c r="J66" s="6" t="str">
        <f>IF(ISBLANK(Tableau1[[#This Row],[courriel]]), "", HYPERLINK(_xlfn.CONCAT("https://teams.microsoft.com/l/chat/0/0?users=",Tableau1[[#This Row],[courriel]])))</f>
        <v>https://teams.microsoft.com/l/chat/0/0?users=marjorie.gauchier@umontreal.ca</v>
      </c>
    </row>
    <row r="67" spans="1:10" s="3" customFormat="1" x14ac:dyDescent="0.3">
      <c r="A67" t="s">
        <v>695</v>
      </c>
      <c r="B67" t="s">
        <v>690</v>
      </c>
      <c r="C67" s="5"/>
      <c r="D67" s="5" t="s">
        <v>27</v>
      </c>
      <c r="E67" s="5" t="s">
        <v>76</v>
      </c>
      <c r="F67" s="5"/>
      <c r="G67" s="5" t="s">
        <v>305</v>
      </c>
      <c r="H67" s="5" t="s">
        <v>306</v>
      </c>
      <c r="I67" s="14" t="s">
        <v>685</v>
      </c>
      <c r="J67" s="8" t="str">
        <f>IF(ISBLANK(Tableau1[[#This Row],[courriel]]), "", HYPERLINK(_xlfn.CONCAT("https://teams.microsoft.com/l/chat/0/0?users=",Tableau1[[#This Row],[courriel]])))</f>
        <v>https://teams.microsoft.com/l/chat/0/0?users=lucie.geoffroy@umontreal.ca</v>
      </c>
    </row>
    <row r="68" spans="1:10" x14ac:dyDescent="0.3">
      <c r="A68" s="5" t="s">
        <v>299</v>
      </c>
      <c r="B68" s="5" t="s">
        <v>168</v>
      </c>
      <c r="C68" s="5"/>
      <c r="D68" s="5" t="s">
        <v>672</v>
      </c>
      <c r="E68" s="5"/>
      <c r="F68" s="5"/>
      <c r="G68" s="5" t="s">
        <v>300</v>
      </c>
      <c r="H68" s="3" t="s">
        <v>488</v>
      </c>
      <c r="I68" s="6" t="s">
        <v>301</v>
      </c>
      <c r="J68" s="6" t="str">
        <f>IF(ISBLANK(Tableau1[[#This Row],[courriel]]), "", HYPERLINK(_xlfn.CONCAT("https://teams.microsoft.com/l/chat/0/0?users=",Tableau1[[#This Row],[courriel]])))</f>
        <v>https://teams.microsoft.com/l/chat/0/0?users=noemie.gervais@umontreal.ca</v>
      </c>
    </row>
    <row r="69" spans="1:10" s="4" customFormat="1" x14ac:dyDescent="0.3">
      <c r="A69" s="5" t="s">
        <v>302</v>
      </c>
      <c r="B69" s="5" t="s">
        <v>303</v>
      </c>
      <c r="C69" s="5" t="s">
        <v>607</v>
      </c>
      <c r="D69" s="5" t="s">
        <v>27</v>
      </c>
      <c r="E69" s="5" t="s">
        <v>76</v>
      </c>
      <c r="F69" s="5" t="s">
        <v>304</v>
      </c>
      <c r="G69" s="5" t="s">
        <v>305</v>
      </c>
      <c r="H69" s="5" t="s">
        <v>306</v>
      </c>
      <c r="I69" s="5" t="s">
        <v>686</v>
      </c>
      <c r="J69" s="6" t="str">
        <f>IF(ISBLANK(Tableau1[[#This Row],[courriel]]), "", HYPERLINK(_xlfn.CONCAT("https://teams.microsoft.com/l/chat/0/0?users=",Tableau1[[#This Row],[courriel]])))</f>
        <v>https://teams.microsoft.com/l/chat/0/0?users=isabelle.giguere.4@umontreal.ca</v>
      </c>
    </row>
    <row r="70" spans="1:10" x14ac:dyDescent="0.3">
      <c r="A70" t="s">
        <v>693</v>
      </c>
      <c r="B70" t="s">
        <v>288</v>
      </c>
      <c r="C70" s="5" t="s">
        <v>721</v>
      </c>
      <c r="D70" t="s">
        <v>689</v>
      </c>
      <c r="E70" s="5" t="s">
        <v>76</v>
      </c>
      <c r="F70" s="5"/>
      <c r="G70" s="5" t="s">
        <v>305</v>
      </c>
      <c r="H70" s="5" t="s">
        <v>306</v>
      </c>
      <c r="I70" t="s">
        <v>687</v>
      </c>
      <c r="J70" s="8" t="str">
        <f>IF(ISBLANK(Tableau1[[#This Row],[courriel]]), "", HYPERLINK(_xlfn.CONCAT("https://teams.microsoft.com/l/chat/0/0?users=",Tableau1[[#This Row],[courriel]])))</f>
        <v>https://teams.microsoft.com/l/chat/0/0?users=stephanie.hainault@umontreal.ca</v>
      </c>
    </row>
    <row r="71" spans="1:10" x14ac:dyDescent="0.3">
      <c r="A71" s="5" t="s">
        <v>307</v>
      </c>
      <c r="B71" s="5" t="s">
        <v>240</v>
      </c>
      <c r="C71" s="5" t="s">
        <v>308</v>
      </c>
      <c r="D71" s="5" t="s">
        <v>13</v>
      </c>
      <c r="E71" s="5"/>
      <c r="F71" s="5" t="s">
        <v>309</v>
      </c>
      <c r="G71" s="5" t="s">
        <v>284</v>
      </c>
      <c r="H71" s="5" t="s">
        <v>310</v>
      </c>
      <c r="I71" s="5" t="s">
        <v>311</v>
      </c>
      <c r="J71" s="6" t="str">
        <f>IF(ISBLANK(Tableau1[[#This Row],[courriel]]), "", HYPERLINK(_xlfn.CONCAT("https://teams.microsoft.com/l/chat/0/0?users=",Tableau1[[#This Row],[courriel]])))</f>
        <v>https://teams.microsoft.com/l/chat/0/0?users=anne.hakier@umontreal.ca</v>
      </c>
    </row>
    <row r="72" spans="1:10" x14ac:dyDescent="0.3">
      <c r="A72" s="5" t="s">
        <v>312</v>
      </c>
      <c r="B72" s="5" t="s">
        <v>313</v>
      </c>
      <c r="C72" s="5" t="s">
        <v>314</v>
      </c>
      <c r="D72" s="5" t="s">
        <v>27</v>
      </c>
      <c r="E72" s="5"/>
      <c r="F72" s="5" t="s">
        <v>315</v>
      </c>
      <c r="G72" s="5" t="s">
        <v>29</v>
      </c>
      <c r="H72" s="5" t="s">
        <v>316</v>
      </c>
      <c r="I72" s="5" t="s">
        <v>317</v>
      </c>
      <c r="J72" s="6" t="str">
        <f>IF(ISBLANK(Tableau1[[#This Row],[courriel]]), "", HYPERLINK(_xlfn.CONCAT("https://teams.microsoft.com/l/chat/0/0?users=",Tableau1[[#This Row],[courriel]])))</f>
        <v>https://teams.microsoft.com/l/chat/0/0?users=rose.carine.henriquez@umontreal.ca</v>
      </c>
    </row>
    <row r="73" spans="1:10" x14ac:dyDescent="0.3">
      <c r="A73" t="s">
        <v>318</v>
      </c>
      <c r="B73" t="s">
        <v>319</v>
      </c>
      <c r="C73" s="7" t="s">
        <v>320</v>
      </c>
      <c r="D73" t="s">
        <v>13</v>
      </c>
      <c r="F73" s="5" t="s">
        <v>321</v>
      </c>
      <c r="G73" t="s">
        <v>15</v>
      </c>
      <c r="H73" t="s">
        <v>322</v>
      </c>
      <c r="I73" t="s">
        <v>323</v>
      </c>
      <c r="J73" s="6" t="str">
        <f>IF(ISBLANK(Tableau1[[#This Row],[courriel]]), "", HYPERLINK(_xlfn.CONCAT("https://teams.microsoft.com/l/chat/0/0?users=",Tableau1[[#This Row],[courriel]])))</f>
        <v>https://teams.microsoft.com/l/chat/0/0?users=thien.sa.hoang@umontreal.ca</v>
      </c>
    </row>
    <row r="74" spans="1:10" x14ac:dyDescent="0.3">
      <c r="A74" t="s">
        <v>694</v>
      </c>
      <c r="B74" t="s">
        <v>691</v>
      </c>
      <c r="C74" s="5" t="s">
        <v>723</v>
      </c>
      <c r="D74" t="s">
        <v>692</v>
      </c>
      <c r="E74" s="5" t="s">
        <v>76</v>
      </c>
      <c r="F74" s="5"/>
      <c r="G74" s="5" t="s">
        <v>305</v>
      </c>
      <c r="H74" s="5" t="s">
        <v>306</v>
      </c>
      <c r="I74" t="s">
        <v>688</v>
      </c>
      <c r="J74" s="8" t="str">
        <f>IF(ISBLANK(Tableau1[[#This Row],[courriel]]), "", HYPERLINK(_xlfn.CONCAT("https://teams.microsoft.com/l/chat/0/0?users=",Tableau1[[#This Row],[courriel]])))</f>
        <v>https://teams.microsoft.com/l/chat/0/0?users=natalia.jabinschi@umontreal.ca</v>
      </c>
    </row>
    <row r="75" spans="1:10" x14ac:dyDescent="0.3">
      <c r="A75" s="5" t="s">
        <v>324</v>
      </c>
      <c r="B75" s="5" t="s">
        <v>325</v>
      </c>
      <c r="C75" s="5" t="s">
        <v>326</v>
      </c>
      <c r="D75" s="5" t="s">
        <v>678</v>
      </c>
      <c r="E75" s="5" t="s">
        <v>69</v>
      </c>
      <c r="F75" s="11"/>
      <c r="G75" s="3"/>
      <c r="H75" s="5" t="s">
        <v>327</v>
      </c>
      <c r="I75" s="14" t="s">
        <v>328</v>
      </c>
      <c r="J75" s="6" t="str">
        <f>IF(ISBLANK(Tableau1[[#This Row],[courriel]]), "", HYPERLINK(_xlfn.CONCAT("https://teams.microsoft.com/l/chat/0/0?users=",Tableau1[[#This Row],[courriel]])))</f>
        <v>https://teams.microsoft.com/l/chat/0/0?users=khalid.jouamaa@umontreal.ca</v>
      </c>
    </row>
    <row r="76" spans="1:10" x14ac:dyDescent="0.3">
      <c r="A76" s="5" t="s">
        <v>329</v>
      </c>
      <c r="B76" s="5" t="s">
        <v>330</v>
      </c>
      <c r="C76" s="5" t="s">
        <v>331</v>
      </c>
      <c r="D76" s="5" t="s">
        <v>13</v>
      </c>
      <c r="E76" s="5"/>
      <c r="F76" s="5" t="s">
        <v>643</v>
      </c>
      <c r="G76" s="5" t="s">
        <v>29</v>
      </c>
      <c r="H76" s="5" t="s">
        <v>332</v>
      </c>
      <c r="I76" s="5" t="s">
        <v>333</v>
      </c>
      <c r="J76" s="6" t="str">
        <f>IF(ISBLANK(Tableau1[[#This Row],[courriel]]), "", HYPERLINK(_xlfn.CONCAT("https://teams.microsoft.com/l/chat/0/0?users=",Tableau1[[#This Row],[courriel]])))</f>
        <v>https://teams.microsoft.com/l/chat/0/0?users=aminata.keita@umontreal.ca</v>
      </c>
    </row>
    <row r="77" spans="1:10" x14ac:dyDescent="0.3">
      <c r="A77" t="s">
        <v>334</v>
      </c>
      <c r="B77" t="s">
        <v>335</v>
      </c>
      <c r="C77" t="s">
        <v>627</v>
      </c>
      <c r="D77" s="5" t="s">
        <v>672</v>
      </c>
      <c r="G77" t="s">
        <v>284</v>
      </c>
      <c r="H77" s="5" t="s">
        <v>336</v>
      </c>
      <c r="I77" s="6" t="s">
        <v>337</v>
      </c>
      <c r="J77" s="6" t="str">
        <f>IF(ISBLANK(Tableau1[[#This Row],[courriel]]), "", HYPERLINK(_xlfn.CONCAT("https://teams.microsoft.com/l/chat/0/0?users=",Tableau1[[#This Row],[courriel]])))</f>
        <v>https://teams.microsoft.com/l/chat/0/0?users=melanie.lachapelle@umontreal.ca</v>
      </c>
    </row>
    <row r="78" spans="1:10" s="3" customFormat="1" x14ac:dyDescent="0.3">
      <c r="A78" t="s">
        <v>699</v>
      </c>
      <c r="B78" t="s">
        <v>700</v>
      </c>
      <c r="C78" s="5"/>
      <c r="D78" t="s">
        <v>719</v>
      </c>
      <c r="E78" s="5" t="s">
        <v>76</v>
      </c>
      <c r="F78"/>
      <c r="G78" t="s">
        <v>77</v>
      </c>
      <c r="H78" t="s">
        <v>306</v>
      </c>
      <c r="I78" s="6" t="s">
        <v>701</v>
      </c>
      <c r="J78" s="8" t="str">
        <f>IF(ISBLANK(Tableau1[[#This Row],[courriel]]), "", HYPERLINK(_xlfn.CONCAT("https://teams.microsoft.com/l/chat/0/0?users=",Tableau1[[#This Row],[courriel]])))</f>
        <v>https://teams.microsoft.com/l/chat/0/0?users=pierre-yves.lafleur@umontreal.ca</v>
      </c>
    </row>
    <row r="79" spans="1:10" s="3" customFormat="1" x14ac:dyDescent="0.3">
      <c r="A79" s="5" t="s">
        <v>338</v>
      </c>
      <c r="B79" s="5" t="s">
        <v>303</v>
      </c>
      <c r="C79" s="5"/>
      <c r="D79" s="5" t="s">
        <v>672</v>
      </c>
      <c r="E79" s="5"/>
      <c r="F79" s="5"/>
      <c r="G79" s="5" t="s">
        <v>300</v>
      </c>
      <c r="H79" s="5" t="s">
        <v>339</v>
      </c>
      <c r="I79" s="6" t="s">
        <v>576</v>
      </c>
      <c r="J79" s="6" t="str">
        <f>IF(ISBLANK(Tableau1[[#This Row],[courriel]]), "", HYPERLINK(_xlfn.CONCAT("https://teams.microsoft.com/l/chat/0/0?users=",Tableau1[[#This Row],[courriel]])))</f>
        <v>https://teams.microsoft.com/l/chat/0/0?users=isabelle.lagadec@umontreal.ca</v>
      </c>
    </row>
    <row r="80" spans="1:10" x14ac:dyDescent="0.3">
      <c r="A80" t="s">
        <v>340</v>
      </c>
      <c r="B80" t="s">
        <v>95</v>
      </c>
      <c r="C80" t="s">
        <v>624</v>
      </c>
      <c r="D80" s="5" t="s">
        <v>672</v>
      </c>
      <c r="G80" t="s">
        <v>29</v>
      </c>
      <c r="H80" s="12" t="s">
        <v>341</v>
      </c>
      <c r="I80" s="6" t="s">
        <v>342</v>
      </c>
      <c r="J80" s="6" t="str">
        <f>IF(ISBLANK(Tableau1[[#This Row],[courriel]]), "", HYPERLINK(_xlfn.CONCAT("https://teams.microsoft.com/l/chat/0/0?users=",Tableau1[[#This Row],[courriel]])))</f>
        <v>https://teams.microsoft.com/l/chat/0/0?users=marie-france.laliberte@umontreal.ca</v>
      </c>
    </row>
    <row r="81" spans="1:10" x14ac:dyDescent="0.3">
      <c r="A81" s="5" t="s">
        <v>343</v>
      </c>
      <c r="B81" s="5" t="s">
        <v>344</v>
      </c>
      <c r="C81" s="5" t="s">
        <v>345</v>
      </c>
      <c r="D81" s="5" t="s">
        <v>101</v>
      </c>
      <c r="E81" s="5" t="s">
        <v>69</v>
      </c>
      <c r="F81" s="5" t="s">
        <v>346</v>
      </c>
      <c r="G81" s="5" t="s">
        <v>738</v>
      </c>
      <c r="H81" s="5" t="s">
        <v>347</v>
      </c>
      <c r="I81" s="5" t="s">
        <v>348</v>
      </c>
      <c r="J81" s="6" t="str">
        <f>IF(ISBLANK(Tableau1[[#This Row],[courriel]]), "", HYPERLINK(_xlfn.CONCAT("https://teams.microsoft.com/l/chat/0/0?users=",Tableau1[[#This Row],[courriel]])))</f>
        <v>https://teams.microsoft.com/l/chat/0/0?users=am.lalonde@umontreal.ca</v>
      </c>
    </row>
    <row r="82" spans="1:10" s="3" customFormat="1" x14ac:dyDescent="0.3">
      <c r="A82" s="5" t="s">
        <v>349</v>
      </c>
      <c r="B82" s="5" t="s">
        <v>350</v>
      </c>
      <c r="C82" s="5" t="s">
        <v>351</v>
      </c>
      <c r="D82" s="5" t="s">
        <v>677</v>
      </c>
      <c r="E82" s="5" t="s">
        <v>117</v>
      </c>
      <c r="F82" s="5" t="s">
        <v>41</v>
      </c>
      <c r="G82" s="5" t="s">
        <v>15</v>
      </c>
      <c r="H82" s="5" t="s">
        <v>352</v>
      </c>
      <c r="I82" s="5" t="s">
        <v>353</v>
      </c>
      <c r="J82" s="6" t="str">
        <f>IF(ISBLANK(Tableau1[[#This Row],[courriel]]), "", HYPERLINK(_xlfn.CONCAT("https://teams.microsoft.com/l/chat/0/0?users=",Tableau1[[#This Row],[courriel]])))</f>
        <v>https://teams.microsoft.com/l/chat/0/0?users=tara.landry@umontreal.ca</v>
      </c>
    </row>
    <row r="83" spans="1:10" s="3" customFormat="1" x14ac:dyDescent="0.3">
      <c r="A83" s="5" t="s">
        <v>724</v>
      </c>
      <c r="B83" s="5" t="s">
        <v>725</v>
      </c>
      <c r="C83" s="5"/>
      <c r="D83" s="5" t="s">
        <v>726</v>
      </c>
      <c r="E83" s="5" t="s">
        <v>635</v>
      </c>
      <c r="F83" s="5"/>
      <c r="G83" s="5" t="s">
        <v>125</v>
      </c>
      <c r="H83" s="5" t="s">
        <v>727</v>
      </c>
      <c r="I83" s="6" t="s">
        <v>728</v>
      </c>
      <c r="J83" s="8" t="str">
        <f>IF(ISBLANK(Tableau1[[#This Row],[courriel]]), "", HYPERLINK(_xlfn.CONCAT("https://teams.microsoft.com/l/chat/0/0?users=",Tableau1[[#This Row],[courriel]])))</f>
        <v>https://teams.microsoft.com/l/chat/0/0?users=marie-josee.lapalme@umontreal.ca</v>
      </c>
    </row>
    <row r="84" spans="1:10" ht="28.8" x14ac:dyDescent="0.3">
      <c r="A84" s="5" t="s">
        <v>354</v>
      </c>
      <c r="B84" s="5" t="s">
        <v>288</v>
      </c>
      <c r="C84" s="5" t="s">
        <v>582</v>
      </c>
      <c r="D84" s="5" t="s">
        <v>677</v>
      </c>
      <c r="E84" s="10" t="s">
        <v>261</v>
      </c>
      <c r="F84" s="5" t="s">
        <v>355</v>
      </c>
      <c r="G84" s="5" t="s">
        <v>29</v>
      </c>
      <c r="H84" s="5" t="s">
        <v>356</v>
      </c>
      <c r="I84" s="5" t="s">
        <v>357</v>
      </c>
      <c r="J84" s="6" t="str">
        <f>IF(ISBLANK(Tableau1[[#This Row],[courriel]]), "", HYPERLINK(_xlfn.CONCAT("https://teams.microsoft.com/l/chat/0/0?users=",Tableau1[[#This Row],[courriel]])))</f>
        <v>https://teams.microsoft.com/l/chat/0/0?users=stephanie.lariviere-roberge@umontreal.ca</v>
      </c>
    </row>
    <row r="85" spans="1:10" x14ac:dyDescent="0.3">
      <c r="A85" t="s">
        <v>358</v>
      </c>
      <c r="B85" t="s">
        <v>359</v>
      </c>
      <c r="C85" s="5" t="s">
        <v>583</v>
      </c>
      <c r="D85" s="5" t="s">
        <v>672</v>
      </c>
      <c r="G85" t="s">
        <v>29</v>
      </c>
      <c r="H85" s="12" t="s">
        <v>360</v>
      </c>
      <c r="I85" s="6" t="s">
        <v>361</v>
      </c>
      <c r="J85" s="6" t="str">
        <f>IF(ISBLANK(Tableau1[[#This Row],[courriel]]), "", HYPERLINK(_xlfn.CONCAT("https://teams.microsoft.com/l/chat/0/0?users=",Tableau1[[#This Row],[courriel]])))</f>
        <v>https://teams.microsoft.com/l/chat/0/0?users=alex-sandrine.lavallee-masse@umontreal.ca</v>
      </c>
    </row>
    <row r="86" spans="1:10" x14ac:dyDescent="0.3">
      <c r="A86" s="5" t="s">
        <v>362</v>
      </c>
      <c r="B86" s="5" t="s">
        <v>363</v>
      </c>
      <c r="C86" s="5" t="s">
        <v>364</v>
      </c>
      <c r="D86" s="5" t="s">
        <v>13</v>
      </c>
      <c r="E86" s="5"/>
      <c r="F86" s="5" t="s">
        <v>645</v>
      </c>
      <c r="G86" s="5" t="s">
        <v>29</v>
      </c>
      <c r="H86" s="5" t="s">
        <v>365</v>
      </c>
      <c r="I86" s="5" t="s">
        <v>366</v>
      </c>
      <c r="J86" s="6" t="str">
        <f>IF(ISBLANK(Tableau1[[#This Row],[courriel]]), "", HYPERLINK(_xlfn.CONCAT("https://teams.microsoft.com/l/chat/0/0?users=",Tableau1[[#This Row],[courriel]])))</f>
        <v>https://teams.microsoft.com/l/chat/0/0?users=graham.lavender@umontreal.ca</v>
      </c>
    </row>
    <row r="87" spans="1:10" x14ac:dyDescent="0.3">
      <c r="A87" t="s">
        <v>367</v>
      </c>
      <c r="B87" t="s">
        <v>368</v>
      </c>
      <c r="C87" s="5" t="s">
        <v>617</v>
      </c>
      <c r="D87" s="5" t="s">
        <v>27</v>
      </c>
      <c r="E87" s="5" t="s">
        <v>69</v>
      </c>
      <c r="F87" t="s">
        <v>739</v>
      </c>
      <c r="G87" s="5" t="s">
        <v>424</v>
      </c>
      <c r="H87" t="s">
        <v>369</v>
      </c>
      <c r="I87" s="6" t="s">
        <v>370</v>
      </c>
      <c r="J87" s="6" t="str">
        <f>IF(ISBLANK(Tableau1[[#This Row],[courriel]]), "", HYPERLINK(_xlfn.CONCAT("https://teams.microsoft.com/l/chat/0/0?users=",Tableau1[[#This Row],[courriel]])))</f>
        <v>https://teams.microsoft.com/l/chat/0/0?users=jessica.legault.2@umontreal.ca</v>
      </c>
    </row>
    <row r="88" spans="1:10" x14ac:dyDescent="0.3">
      <c r="A88" s="5" t="s">
        <v>371</v>
      </c>
      <c r="B88" s="5" t="s">
        <v>372</v>
      </c>
      <c r="C88" s="5" t="s">
        <v>373</v>
      </c>
      <c r="D88" s="5" t="s">
        <v>677</v>
      </c>
      <c r="E88" s="5" t="s">
        <v>69</v>
      </c>
      <c r="F88" s="3"/>
      <c r="G88" s="5" t="s">
        <v>166</v>
      </c>
      <c r="H88" s="5" t="s">
        <v>374</v>
      </c>
      <c r="I88" s="5" t="s">
        <v>375</v>
      </c>
      <c r="J88" s="6" t="str">
        <f>IF(ISBLANK(Tableau1[[#This Row],[courriel]]), "", HYPERLINK(_xlfn.CONCAT("https://teams.microsoft.com/l/chat/0/0?users=",Tableau1[[#This Row],[courriel]])))</f>
        <v>https://teams.microsoft.com/l/chat/0/0?users=genevieve.lemarier@umontreal.ca</v>
      </c>
    </row>
    <row r="89" spans="1:10" x14ac:dyDescent="0.3">
      <c r="A89" s="5" t="s">
        <v>376</v>
      </c>
      <c r="B89" s="5" t="s">
        <v>377</v>
      </c>
      <c r="C89" s="5" t="s">
        <v>378</v>
      </c>
      <c r="D89" s="5" t="s">
        <v>677</v>
      </c>
      <c r="E89" s="5" t="s">
        <v>117</v>
      </c>
      <c r="F89" s="11" t="s">
        <v>379</v>
      </c>
      <c r="G89" s="5" t="s">
        <v>577</v>
      </c>
      <c r="H89" s="5" t="s">
        <v>380</v>
      </c>
      <c r="I89" s="14" t="s">
        <v>381</v>
      </c>
      <c r="J89" s="6" t="str">
        <f>IF(ISBLANK(Tableau1[[#This Row],[courriel]]), "", HYPERLINK(_xlfn.CONCAT("https://teams.microsoft.com/l/chat/0/0?users=",Tableau1[[#This Row],[courriel]])))</f>
        <v>https://teams.microsoft.com/l/chat/0/0?users=mariane.leonard@umontreal.ca</v>
      </c>
    </row>
    <row r="90" spans="1:10" x14ac:dyDescent="0.3">
      <c r="A90" s="5" t="s">
        <v>382</v>
      </c>
      <c r="B90" s="5" t="s">
        <v>383</v>
      </c>
      <c r="C90" s="5" t="s">
        <v>626</v>
      </c>
      <c r="D90" s="5" t="s">
        <v>677</v>
      </c>
      <c r="E90" s="5" t="s">
        <v>76</v>
      </c>
      <c r="G90" s="5" t="s">
        <v>93</v>
      </c>
      <c r="H90" s="5" t="s">
        <v>384</v>
      </c>
      <c r="I90" s="14" t="s">
        <v>385</v>
      </c>
      <c r="J90" s="6" t="str">
        <f>IF(ISBLANK(Tableau1[[#This Row],[courriel]]), "", HYPERLINK(_xlfn.CONCAT("https://teams.microsoft.com/l/chat/0/0?users=",Tableau1[[#This Row],[courriel]])))</f>
        <v>https://teams.microsoft.com/l/chat/0/0?users=maude.lethiecq-normand@umontreal.ca</v>
      </c>
    </row>
    <row r="91" spans="1:10" ht="28.8" x14ac:dyDescent="0.3">
      <c r="A91" s="5" t="s">
        <v>386</v>
      </c>
      <c r="B91" s="5" t="s">
        <v>387</v>
      </c>
      <c r="C91" s="5" t="s">
        <v>388</v>
      </c>
      <c r="D91" s="5" t="s">
        <v>676</v>
      </c>
      <c r="E91" s="10" t="s">
        <v>261</v>
      </c>
      <c r="F91" s="5"/>
      <c r="G91" s="5" t="s">
        <v>125</v>
      </c>
      <c r="H91" s="5" t="s">
        <v>389</v>
      </c>
      <c r="I91" s="5" t="s">
        <v>390</v>
      </c>
      <c r="J91" s="6" t="str">
        <f>IF(ISBLANK(Tableau1[[#This Row],[courriel]]), "", HYPERLINK(_xlfn.CONCAT("https://teams.microsoft.com/l/chat/0/0?users=",Tableau1[[#This Row],[courriel]])))</f>
        <v>https://teams.microsoft.com/l/chat/0/0?users=danny.letourneau@umontreal.ca</v>
      </c>
    </row>
    <row r="92" spans="1:10" x14ac:dyDescent="0.3">
      <c r="A92" s="3" t="s">
        <v>391</v>
      </c>
      <c r="B92" s="3" t="s">
        <v>392</v>
      </c>
      <c r="C92" s="3" t="s">
        <v>612</v>
      </c>
      <c r="D92" s="5" t="s">
        <v>677</v>
      </c>
      <c r="E92" s="3" t="s">
        <v>536</v>
      </c>
      <c r="F92" t="s">
        <v>379</v>
      </c>
      <c r="G92" s="3" t="s">
        <v>587</v>
      </c>
      <c r="H92" s="3" t="s">
        <v>393</v>
      </c>
      <c r="I92" s="3" t="s">
        <v>394</v>
      </c>
      <c r="J92" s="6" t="str">
        <f>IF(ISBLANK(Tableau1[[#This Row],[courriel]]), "", HYPERLINK(_xlfn.CONCAT("https://teams.microsoft.com/l/chat/0/0?users=",Tableau1[[#This Row],[courriel]])))</f>
        <v>https://teams.microsoft.com/l/chat/0/0?users=ae.levesque@umontreal.ca</v>
      </c>
    </row>
    <row r="93" spans="1:10" x14ac:dyDescent="0.3">
      <c r="A93" s="5" t="s">
        <v>391</v>
      </c>
      <c r="B93" s="5" t="s">
        <v>395</v>
      </c>
      <c r="C93" s="5" t="s">
        <v>613</v>
      </c>
      <c r="D93" s="5" t="s">
        <v>675</v>
      </c>
      <c r="E93" s="5" t="s">
        <v>76</v>
      </c>
      <c r="F93" s="5"/>
      <c r="H93" s="5"/>
      <c r="I93" s="5" t="s">
        <v>396</v>
      </c>
      <c r="J93" s="6" t="str">
        <f>IF(ISBLANK(Tableau1[[#This Row],[courriel]]), "", HYPERLINK(_xlfn.CONCAT("https://teams.microsoft.com/l/chat/0/0?users=",Tableau1[[#This Row],[courriel]])))</f>
        <v>https://teams.microsoft.com/l/chat/0/0?users=anny.levesque@umontreal.ca</v>
      </c>
    </row>
    <row r="94" spans="1:10" x14ac:dyDescent="0.3">
      <c r="A94" s="5" t="s">
        <v>397</v>
      </c>
      <c r="B94" s="5" t="s">
        <v>398</v>
      </c>
      <c r="C94" s="5" t="s">
        <v>615</v>
      </c>
      <c r="D94" s="5" t="s">
        <v>672</v>
      </c>
      <c r="E94" s="5"/>
      <c r="F94" s="5"/>
      <c r="G94" s="5" t="s">
        <v>52</v>
      </c>
      <c r="H94" s="5" t="s">
        <v>399</v>
      </c>
      <c r="I94" s="6" t="s">
        <v>400</v>
      </c>
      <c r="J94" s="6" t="str">
        <f>IF(ISBLANK(Tableau1[[#This Row],[courriel]]), "", HYPERLINK(_xlfn.CONCAT("https://teams.microsoft.com/l/chat/0/0?users=",Tableau1[[#This Row],[courriel]])))</f>
        <v>https://teams.microsoft.com/l/chat/0/0?users=jason.madooray@umontreal.ca</v>
      </c>
    </row>
    <row r="95" spans="1:10" x14ac:dyDescent="0.3">
      <c r="A95" s="5" t="s">
        <v>401</v>
      </c>
      <c r="B95" s="5" t="s">
        <v>402</v>
      </c>
      <c r="C95" s="5" t="s">
        <v>630</v>
      </c>
      <c r="D95" s="5" t="s">
        <v>672</v>
      </c>
      <c r="E95" s="5"/>
      <c r="F95" s="5"/>
      <c r="G95" s="5" t="s">
        <v>403</v>
      </c>
      <c r="H95" s="5" t="s">
        <v>404</v>
      </c>
      <c r="I95" s="6" t="s">
        <v>405</v>
      </c>
      <c r="J95" s="6" t="str">
        <f>IF(ISBLANK(Tableau1[[#This Row],[courriel]]), "", HYPERLINK(_xlfn.CONCAT("https://teams.microsoft.com/l/chat/0/0?users=",Tableau1[[#This Row],[courriel]])))</f>
        <v>https://teams.microsoft.com/l/chat/0/0?users=yacine.mansar@umontreal.ca</v>
      </c>
    </row>
    <row r="96" spans="1:10" x14ac:dyDescent="0.3">
      <c r="A96" s="5" t="s">
        <v>406</v>
      </c>
      <c r="B96" s="5" t="s">
        <v>407</v>
      </c>
      <c r="C96" s="5" t="s">
        <v>629</v>
      </c>
      <c r="D96" s="3" t="s">
        <v>673</v>
      </c>
      <c r="E96" s="5"/>
      <c r="G96" s="5" t="s">
        <v>218</v>
      </c>
      <c r="H96" s="3" t="s">
        <v>408</v>
      </c>
      <c r="I96" s="6" t="s">
        <v>409</v>
      </c>
      <c r="J96" s="6" t="str">
        <f>IF(ISBLANK(Tableau1[[#This Row],[courriel]]), "", HYPERLINK(_xlfn.CONCAT("https://teams.microsoft.com/l/chat/0/0?users=",Tableau1[[#This Row],[courriel]])))</f>
        <v>https://teams.microsoft.com/l/chat/0/0?users=vanessa.martin.2@umontreal.ca</v>
      </c>
    </row>
    <row r="97" spans="1:10" x14ac:dyDescent="0.3">
      <c r="A97" s="5" t="s">
        <v>410</v>
      </c>
      <c r="B97" s="5" t="s">
        <v>411</v>
      </c>
      <c r="C97" s="5" t="s">
        <v>412</v>
      </c>
      <c r="D97" s="5" t="s">
        <v>13</v>
      </c>
      <c r="E97" s="5"/>
      <c r="F97" s="5" t="s">
        <v>644</v>
      </c>
      <c r="G97" s="5" t="s">
        <v>29</v>
      </c>
      <c r="H97" s="5" t="s">
        <v>413</v>
      </c>
      <c r="I97" s="5" t="s">
        <v>414</v>
      </c>
      <c r="J97" s="6" t="str">
        <f>IF(ISBLANK(Tableau1[[#This Row],[courriel]]), "", HYPERLINK(_xlfn.CONCAT("https://teams.microsoft.com/l/chat/0/0?users=",Tableau1[[#This Row],[courriel]])))</f>
        <v>https://teams.microsoft.com/l/chat/0/0?users=pascal.martinolli@umontreal.ca</v>
      </c>
    </row>
    <row r="98" spans="1:10" x14ac:dyDescent="0.3">
      <c r="A98" s="5" t="s">
        <v>415</v>
      </c>
      <c r="B98" s="5" t="s">
        <v>335</v>
      </c>
      <c r="C98" s="5" t="s">
        <v>416</v>
      </c>
      <c r="D98" s="5" t="s">
        <v>13</v>
      </c>
      <c r="E98" s="5"/>
      <c r="F98" s="5" t="s">
        <v>417</v>
      </c>
      <c r="G98" s="5" t="s">
        <v>418</v>
      </c>
      <c r="H98" s="5" t="s">
        <v>419</v>
      </c>
      <c r="I98" s="14" t="s">
        <v>420</v>
      </c>
      <c r="J98" s="6" t="str">
        <f>IF(ISBLANK(Tableau1[[#This Row],[courriel]]), "", HYPERLINK(_xlfn.CONCAT("https://teams.microsoft.com/l/chat/0/0?users=",Tableau1[[#This Row],[courriel]])))</f>
        <v>https://teams.microsoft.com/l/chat/0/0?users=melanie.masse.2@umontreal.ca</v>
      </c>
    </row>
    <row r="99" spans="1:10" x14ac:dyDescent="0.3">
      <c r="A99" s="5" t="s">
        <v>421</v>
      </c>
      <c r="B99" s="5" t="s">
        <v>422</v>
      </c>
      <c r="C99" s="5" t="s">
        <v>423</v>
      </c>
      <c r="D99" s="5" t="s">
        <v>677</v>
      </c>
      <c r="E99" s="5" t="s">
        <v>69</v>
      </c>
      <c r="G99" s="5" t="s">
        <v>424</v>
      </c>
      <c r="H99" s="5" t="s">
        <v>425</v>
      </c>
      <c r="I99" s="5" t="s">
        <v>426</v>
      </c>
      <c r="J99" s="6" t="str">
        <f>IF(ISBLANK(Tableau1[[#This Row],[courriel]]), "", HYPERLINK(_xlfn.CONCAT("https://teams.microsoft.com/l/chat/0/0?users=",Tableau1[[#This Row],[courriel]])))</f>
        <v>https://teams.microsoft.com/l/chat/0/0?users=gabrielle.mathieu-dupuis@umontreal.ca</v>
      </c>
    </row>
    <row r="100" spans="1:10" s="3" customFormat="1" x14ac:dyDescent="0.3">
      <c r="A100" s="5" t="s">
        <v>427</v>
      </c>
      <c r="B100" s="5" t="s">
        <v>428</v>
      </c>
      <c r="C100" s="5" t="s">
        <v>597</v>
      </c>
      <c r="D100" s="5" t="s">
        <v>672</v>
      </c>
      <c r="E100" s="5"/>
      <c r="F100" s="5"/>
      <c r="G100" s="5" t="s">
        <v>87</v>
      </c>
      <c r="H100" s="5" t="s">
        <v>429</v>
      </c>
      <c r="I100" s="6" t="s">
        <v>430</v>
      </c>
      <c r="J100" s="6" t="str">
        <f>IF(ISBLANK(Tableau1[[#This Row],[courriel]]), "", HYPERLINK(_xlfn.CONCAT("https://teams.microsoft.com/l/chat/0/0?users=",Tableau1[[#This Row],[courriel]])))</f>
        <v>https://teams.microsoft.com/l/chat/0/0?users=benoit.mayrand@umontreal.ca</v>
      </c>
    </row>
    <row r="101" spans="1:10" x14ac:dyDescent="0.3">
      <c r="A101" s="3" t="s">
        <v>431</v>
      </c>
      <c r="B101" s="3" t="s">
        <v>432</v>
      </c>
      <c r="C101" s="5" t="s">
        <v>433</v>
      </c>
      <c r="D101" s="5" t="s">
        <v>13</v>
      </c>
      <c r="E101" s="5"/>
      <c r="F101" s="3" t="s">
        <v>417</v>
      </c>
      <c r="G101" s="3" t="s">
        <v>418</v>
      </c>
      <c r="H101" s="3" t="s">
        <v>434</v>
      </c>
      <c r="I101" s="3" t="s">
        <v>435</v>
      </c>
      <c r="J101" s="6" t="str">
        <f>IF(ISBLANK(Tableau1[[#This Row],[courriel]]), "", HYPERLINK(_xlfn.CONCAT("https://teams.microsoft.com/l/chat/0/0?users=",Tableau1[[#This Row],[courriel]])))</f>
        <v>https://teams.microsoft.com/l/chat/0/0?users=ginette-denyse.melancon.bolduc@umontreal.ca</v>
      </c>
    </row>
    <row r="102" spans="1:10" x14ac:dyDescent="0.3">
      <c r="A102" s="5" t="s">
        <v>436</v>
      </c>
      <c r="B102" s="5" t="s">
        <v>437</v>
      </c>
      <c r="C102" s="5" t="s">
        <v>438</v>
      </c>
      <c r="D102" s="5" t="s">
        <v>101</v>
      </c>
      <c r="E102" s="5" t="s">
        <v>69</v>
      </c>
      <c r="F102" s="5" t="s">
        <v>740</v>
      </c>
      <c r="G102" s="5" t="s">
        <v>737</v>
      </c>
      <c r="H102" s="5" t="s">
        <v>439</v>
      </c>
      <c r="I102" s="14" t="s">
        <v>440</v>
      </c>
      <c r="J102" s="6" t="str">
        <f>IF(ISBLANK(Tableau1[[#This Row],[courriel]]), "", HYPERLINK(_xlfn.CONCAT("https://teams.microsoft.com/l/chat/0/0?users=",Tableau1[[#This Row],[courriel]])))</f>
        <v>https://teams.microsoft.com/l/chat/0/0?users=justine.menard.1@umontreal.ca</v>
      </c>
    </row>
    <row r="103" spans="1:10" x14ac:dyDescent="0.3">
      <c r="A103" s="5" t="s">
        <v>729</v>
      </c>
      <c r="B103" s="5" t="s">
        <v>291</v>
      </c>
      <c r="C103" s="5" t="s">
        <v>730</v>
      </c>
      <c r="D103" s="5" t="s">
        <v>672</v>
      </c>
      <c r="E103" t="s">
        <v>65</v>
      </c>
      <c r="F103" s="5"/>
      <c r="G103" t="s">
        <v>125</v>
      </c>
      <c r="H103" s="5" t="s">
        <v>731</v>
      </c>
      <c r="I103" s="6" t="s">
        <v>732</v>
      </c>
      <c r="J103" s="8" t="str">
        <f>IF(ISBLANK(Tableau1[[#This Row],[courriel]]), "", HYPERLINK(_xlfn.CONCAT("https://teams.microsoft.com/l/chat/0/0?users=",Tableau1[[#This Row],[courriel]])))</f>
        <v>https://teams.microsoft.com/l/chat/0/0?users=diane.moreau@umontreal.ca</v>
      </c>
    </row>
    <row r="104" spans="1:10" x14ac:dyDescent="0.3">
      <c r="A104" t="s">
        <v>441</v>
      </c>
      <c r="B104" t="s">
        <v>442</v>
      </c>
      <c r="C104" s="5" t="s">
        <v>598</v>
      </c>
      <c r="D104" s="5" t="s">
        <v>27</v>
      </c>
      <c r="E104" s="5" t="s">
        <v>69</v>
      </c>
      <c r="F104" t="s">
        <v>741</v>
      </c>
      <c r="G104" s="5" t="s">
        <v>424</v>
      </c>
      <c r="H104" t="s">
        <v>443</v>
      </c>
      <c r="I104" s="6" t="s">
        <v>444</v>
      </c>
      <c r="J104" s="6" t="str">
        <f>IF(ISBLANK(Tableau1[[#This Row],[courriel]]), "", HYPERLINK(_xlfn.CONCAT("https://teams.microsoft.com/l/chat/0/0?users=",Tableau1[[#This Row],[courriel]])))</f>
        <v>https://teams.microsoft.com/l/chat/0/0?users=mathieu.murray-samuel@umontreal.ca</v>
      </c>
    </row>
    <row r="105" spans="1:10" s="4" customFormat="1" x14ac:dyDescent="0.3">
      <c r="A105" s="3" t="s">
        <v>445</v>
      </c>
      <c r="B105" s="3" t="s">
        <v>446</v>
      </c>
      <c r="C105" s="3" t="s">
        <v>605</v>
      </c>
      <c r="D105" s="5" t="s">
        <v>678</v>
      </c>
      <c r="E105" s="3" t="s">
        <v>536</v>
      </c>
      <c r="F105" s="11"/>
      <c r="G105" s="3" t="s">
        <v>590</v>
      </c>
      <c r="H105" s="3" t="s">
        <v>447</v>
      </c>
      <c r="I105" s="3" t="s">
        <v>448</v>
      </c>
      <c r="J105" s="6" t="str">
        <f>IF(ISBLANK(Tableau1[[#This Row],[courriel]]), "", HYPERLINK(_xlfn.CONCAT("https://teams.microsoft.com/l/chat/0/0?users=",Tableau1[[#This Row],[courriel]])))</f>
        <v>https://teams.microsoft.com/l/chat/0/0?users=france.nadeau@umontreal.ca</v>
      </c>
    </row>
    <row r="106" spans="1:10" s="4" customFormat="1" x14ac:dyDescent="0.3">
      <c r="A106" s="5" t="s">
        <v>449</v>
      </c>
      <c r="B106" s="5" t="s">
        <v>450</v>
      </c>
      <c r="C106" s="5" t="s">
        <v>622</v>
      </c>
      <c r="D106" s="5" t="s">
        <v>451</v>
      </c>
      <c r="E106" s="5"/>
      <c r="F106" s="5" t="s">
        <v>452</v>
      </c>
      <c r="G106" s="5" t="s">
        <v>58</v>
      </c>
      <c r="H106" s="5" t="s">
        <v>453</v>
      </c>
      <c r="I106" s="14" t="s">
        <v>454</v>
      </c>
      <c r="J106" s="6" t="str">
        <f>IF(ISBLANK(Tableau1[[#This Row],[courriel]]), "", HYPERLINK(_xlfn.CONCAT("https://teams.microsoft.com/l/chat/0/0?users=",Tableau1[[#This Row],[courriel]])))</f>
        <v>https://teams.microsoft.com/l/chat/0/0?users=magdalena.oriental@umontreal.ca</v>
      </c>
    </row>
    <row r="107" spans="1:10" x14ac:dyDescent="0.3">
      <c r="A107" s="5" t="s">
        <v>455</v>
      </c>
      <c r="B107" s="5" t="s">
        <v>456</v>
      </c>
      <c r="C107" s="5"/>
      <c r="D107" s="3" t="s">
        <v>673</v>
      </c>
      <c r="E107" s="5" t="s">
        <v>69</v>
      </c>
      <c r="F107" s="5"/>
      <c r="H107" s="5" t="s">
        <v>457</v>
      </c>
      <c r="I107" s="5" t="s">
        <v>458</v>
      </c>
      <c r="J107" s="6" t="str">
        <f>IF(ISBLANK(Tableau1[[#This Row],[courriel]]), "", HYPERLINK(_xlfn.CONCAT("https://teams.microsoft.com/l/chat/0/0?users=",Tableau1[[#This Row],[courriel]])))</f>
        <v>https://teams.microsoft.com/l/chat/0/0?users=fatima.zahra.ouadrhiri@umontreal.ca</v>
      </c>
    </row>
    <row r="108" spans="1:10" x14ac:dyDescent="0.3">
      <c r="A108" s="5" t="s">
        <v>459</v>
      </c>
      <c r="B108" s="5" t="s">
        <v>460</v>
      </c>
      <c r="C108" s="5" t="s">
        <v>585</v>
      </c>
      <c r="D108" s="5" t="s">
        <v>677</v>
      </c>
      <c r="E108" t="s">
        <v>750</v>
      </c>
      <c r="F108" s="3"/>
      <c r="G108" t="s">
        <v>746</v>
      </c>
      <c r="H108" s="5" t="s">
        <v>461</v>
      </c>
      <c r="I108" s="14" t="s">
        <v>462</v>
      </c>
      <c r="J108" s="6" t="str">
        <f>IF(ISBLANK(Tableau1[[#This Row],[courriel]]), "", HYPERLINK(_xlfn.CONCAT("https://teams.microsoft.com/l/chat/0/0?users=",Tableau1[[#This Row],[courriel]])))</f>
        <v>https://teams.microsoft.com/l/chat/0/0?users=julie.ouellette@umontreal.ca</v>
      </c>
    </row>
    <row r="109" spans="1:10" x14ac:dyDescent="0.3">
      <c r="A109" s="5" t="s">
        <v>463</v>
      </c>
      <c r="B109" s="5" t="s">
        <v>464</v>
      </c>
      <c r="C109" s="5"/>
      <c r="D109" s="5" t="s">
        <v>747</v>
      </c>
      <c r="E109" s="5"/>
      <c r="G109" s="5" t="s">
        <v>751</v>
      </c>
      <c r="H109" s="5"/>
      <c r="I109" s="6" t="s">
        <v>466</v>
      </c>
      <c r="J109" s="6" t="str">
        <f>IF(ISBLANK(Tableau1[[#This Row],[courriel]]), "", HYPERLINK(_xlfn.CONCAT("https://teams.microsoft.com/l/chat/0/0?users=",Tableau1[[#This Row],[courriel]])))</f>
        <v>https://teams.microsoft.com/l/chat/0/0?users=francois-xavier.panaccio@umontreal.ca</v>
      </c>
    </row>
    <row r="110" spans="1:10" x14ac:dyDescent="0.3">
      <c r="A110" s="5" t="s">
        <v>467</v>
      </c>
      <c r="B110" s="5" t="s">
        <v>468</v>
      </c>
      <c r="C110" s="5" t="s">
        <v>594</v>
      </c>
      <c r="D110" s="5" t="s">
        <v>13</v>
      </c>
      <c r="E110" s="5"/>
      <c r="F110" s="5" t="s">
        <v>469</v>
      </c>
      <c r="G110" s="5" t="s">
        <v>29</v>
      </c>
      <c r="H110" s="3" t="s">
        <v>470</v>
      </c>
      <c r="I110" s="3" t="s">
        <v>471</v>
      </c>
      <c r="J110" s="6" t="str">
        <f>IF(ISBLANK(Tableau1[[#This Row],[courriel]]), "", HYPERLINK(_xlfn.CONCAT("https://teams.microsoft.com/l/chat/0/0?users=",Tableau1[[#This Row],[courriel]])))</f>
        <v>https://teams.microsoft.com/l/chat/0/0?users=caroline.patenaude@umontreal.ca</v>
      </c>
    </row>
    <row r="111" spans="1:10" x14ac:dyDescent="0.3">
      <c r="A111" s="5" t="s">
        <v>467</v>
      </c>
      <c r="B111" s="5" t="s">
        <v>472</v>
      </c>
      <c r="C111" s="5" t="s">
        <v>473</v>
      </c>
      <c r="D111" s="5" t="s">
        <v>13</v>
      </c>
      <c r="E111" s="5" t="s">
        <v>29</v>
      </c>
      <c r="F111" s="5" t="s">
        <v>663</v>
      </c>
      <c r="G111" s="5" t="s">
        <v>29</v>
      </c>
      <c r="H111" s="3" t="s">
        <v>474</v>
      </c>
      <c r="I111" s="3" t="s">
        <v>475</v>
      </c>
      <c r="J111" s="6" t="str">
        <f>IF(ISBLANK(Tableau1[[#This Row],[courriel]]), "", HYPERLINK(_xlfn.CONCAT("https://teams.microsoft.com/l/chat/0/0?users=",Tableau1[[#This Row],[courriel]])))</f>
        <v>https://teams.microsoft.com/l/chat/0/0?users=david.patenaude.1@umontreal.ca</v>
      </c>
    </row>
    <row r="112" spans="1:10" x14ac:dyDescent="0.3">
      <c r="A112" s="5" t="s">
        <v>476</v>
      </c>
      <c r="B112" s="5" t="s">
        <v>288</v>
      </c>
      <c r="C112" s="5" t="s">
        <v>477</v>
      </c>
      <c r="D112" s="5" t="s">
        <v>13</v>
      </c>
      <c r="E112" s="5"/>
      <c r="F112" s="5" t="s">
        <v>131</v>
      </c>
      <c r="G112" s="5" t="s">
        <v>87</v>
      </c>
      <c r="H112" s="3" t="s">
        <v>478</v>
      </c>
      <c r="I112" s="3" t="s">
        <v>479</v>
      </c>
      <c r="J112" s="6" t="str">
        <f>IF(ISBLANK(Tableau1[[#This Row],[courriel]]), "", HYPERLINK(_xlfn.CONCAT("https://teams.microsoft.com/l/chat/0/0?users=",Tableau1[[#This Row],[courriel]])))</f>
        <v>https://teams.microsoft.com/l/chat/0/0?users=stephanie.pham-dang@umontreal.ca</v>
      </c>
    </row>
    <row r="113" spans="1:10" x14ac:dyDescent="0.3">
      <c r="A113" s="5" t="s">
        <v>480</v>
      </c>
      <c r="B113" s="5" t="s">
        <v>442</v>
      </c>
      <c r="C113" s="5" t="s">
        <v>481</v>
      </c>
      <c r="D113" s="5" t="s">
        <v>27</v>
      </c>
      <c r="E113" s="5" t="s">
        <v>76</v>
      </c>
      <c r="F113" s="5" t="s">
        <v>482</v>
      </c>
      <c r="G113" s="4"/>
      <c r="H113" s="3"/>
      <c r="I113" s="6" t="s">
        <v>483</v>
      </c>
      <c r="J113" s="6" t="str">
        <f>IF(ISBLANK(Tableau1[[#This Row],[courriel]]), "", HYPERLINK(_xlfn.CONCAT("https://teams.microsoft.com/l/chat/0/0?users=",Tableau1[[#This Row],[courriel]])))</f>
        <v>https://teams.microsoft.com/l/chat/0/0?users=mathieu.pigeon@umontreal.ca</v>
      </c>
    </row>
    <row r="114" spans="1:10" x14ac:dyDescent="0.3">
      <c r="A114" s="5" t="s">
        <v>484</v>
      </c>
      <c r="B114" s="5" t="s">
        <v>485</v>
      </c>
      <c r="C114" s="5" t="s">
        <v>486</v>
      </c>
      <c r="D114" s="5" t="s">
        <v>13</v>
      </c>
      <c r="E114" s="5"/>
      <c r="F114" s="5" t="s">
        <v>487</v>
      </c>
      <c r="G114" s="5" t="s">
        <v>300</v>
      </c>
      <c r="H114" s="3" t="s">
        <v>488</v>
      </c>
      <c r="I114" s="14" t="s">
        <v>489</v>
      </c>
      <c r="J114" s="6" t="str">
        <f>IF(ISBLANK(Tableau1[[#This Row],[courriel]]), "", HYPERLINK(_xlfn.CONCAT("https://teams.microsoft.com/l/chat/0/0?users=",Tableau1[[#This Row],[courriel]])))</f>
        <v>https://teams.microsoft.com/l/chat/0/0?users=refmede@bib.umontreal.ca</v>
      </c>
    </row>
    <row r="115" spans="1:10" x14ac:dyDescent="0.3">
      <c r="A115" s="5" t="s">
        <v>490</v>
      </c>
      <c r="B115" s="5" t="s">
        <v>491</v>
      </c>
      <c r="C115" s="5" t="s">
        <v>628</v>
      </c>
      <c r="D115" s="5" t="s">
        <v>672</v>
      </c>
      <c r="E115" s="5"/>
      <c r="F115" s="5"/>
      <c r="G115" s="5" t="s">
        <v>21</v>
      </c>
      <c r="H115" s="3" t="s">
        <v>492</v>
      </c>
      <c r="I115" s="6" t="s">
        <v>493</v>
      </c>
      <c r="J115" s="6" t="str">
        <f>IF(ISBLANK(Tableau1[[#This Row],[courriel]]), "", HYPERLINK(_xlfn.CONCAT("https://teams.microsoft.com/l/chat/0/0?users=",Tableau1[[#This Row],[courriel]])))</f>
        <v>https://teams.microsoft.com/l/chat/0/0?users=nathalie.poulin.4@umontreal.ca</v>
      </c>
    </row>
    <row r="116" spans="1:10" x14ac:dyDescent="0.3">
      <c r="A116" t="s">
        <v>494</v>
      </c>
      <c r="B116" t="s">
        <v>495</v>
      </c>
      <c r="C116" t="s">
        <v>616</v>
      </c>
      <c r="D116" s="5" t="s">
        <v>672</v>
      </c>
      <c r="G116" t="s">
        <v>578</v>
      </c>
      <c r="H116" s="5" t="s">
        <v>496</v>
      </c>
      <c r="I116" s="6" t="s">
        <v>497</v>
      </c>
      <c r="J116" s="6" t="str">
        <f>IF(ISBLANK(Tableau1[[#This Row],[courriel]]), "", HYPERLINK(_xlfn.CONCAT("https://teams.microsoft.com/l/chat/0/0?users=",Tableau1[[#This Row],[courriel]])))</f>
        <v>https://teams.microsoft.com/l/chat/0/0?users=jeremy.prime@umontreal.ca</v>
      </c>
    </row>
    <row r="117" spans="1:10" x14ac:dyDescent="0.3">
      <c r="A117" t="s">
        <v>702</v>
      </c>
      <c r="B117" t="s">
        <v>442</v>
      </c>
      <c r="C117" s="13"/>
      <c r="D117" t="s">
        <v>719</v>
      </c>
      <c r="E117" s="5" t="s">
        <v>76</v>
      </c>
      <c r="G117" t="s">
        <v>77</v>
      </c>
      <c r="H117" t="s">
        <v>306</v>
      </c>
      <c r="I117" s="6" t="s">
        <v>703</v>
      </c>
      <c r="J117" s="8" t="str">
        <f>IF(ISBLANK(Tableau1[[#This Row],[courriel]]), "", HYPERLINK(_xlfn.CONCAT("https://teams.microsoft.com/l/chat/0/0?users=",Tableau1[[#This Row],[courriel]])))</f>
        <v>https://teams.microsoft.com/l/chat/0/0?users=mathieu.proulx@umontreal.ca</v>
      </c>
    </row>
    <row r="118" spans="1:10" x14ac:dyDescent="0.3">
      <c r="A118" t="s">
        <v>498</v>
      </c>
      <c r="B118" t="s">
        <v>499</v>
      </c>
      <c r="C118" s="15"/>
      <c r="D118" s="5" t="s">
        <v>672</v>
      </c>
      <c r="G118" t="s">
        <v>29</v>
      </c>
      <c r="H118" t="s">
        <v>500</v>
      </c>
      <c r="I118" s="6" t="s">
        <v>501</v>
      </c>
      <c r="J118" s="6" t="str">
        <f>IF(ISBLANK(Tableau1[[#This Row],[courriel]]), "", HYPERLINK(_xlfn.CONCAT("https://teams.microsoft.com/l/chat/0/0?users=",Tableau1[[#This Row],[courriel]])))</f>
        <v>https://teams.microsoft.com/l/chat/0/0?users=clotilde.rajalu@umontreal.ca</v>
      </c>
    </row>
    <row r="119" spans="1:10" x14ac:dyDescent="0.3">
      <c r="A119" t="s">
        <v>633</v>
      </c>
      <c r="B119" t="s">
        <v>634</v>
      </c>
      <c r="C119" s="5" t="s">
        <v>642</v>
      </c>
      <c r="D119" s="5" t="s">
        <v>672</v>
      </c>
      <c r="E119" s="5"/>
      <c r="F119" s="3"/>
      <c r="G119" t="s">
        <v>519</v>
      </c>
      <c r="H119" t="s">
        <v>636</v>
      </c>
      <c r="I119" s="6" t="s">
        <v>637</v>
      </c>
      <c r="J119" s="6" t="str">
        <f>IF(ISBLANK(Tableau1[[#This Row],[courriel]]), "", HYPERLINK(_xlfn.CONCAT("https://teams.microsoft.com/l/chat/0/0?users=",Tableau1[[#This Row],[courriel]])))</f>
        <v>https://teams.microsoft.com/l/chat/0/0?users=sarah-julie.richard@umontreal.ca</v>
      </c>
    </row>
    <row r="120" spans="1:10" x14ac:dyDescent="0.3">
      <c r="A120" t="s">
        <v>502</v>
      </c>
      <c r="B120" t="s">
        <v>49</v>
      </c>
      <c r="C120" s="7" t="s">
        <v>503</v>
      </c>
      <c r="D120" t="s">
        <v>13</v>
      </c>
      <c r="F120" s="5" t="s">
        <v>504</v>
      </c>
      <c r="G120" t="s">
        <v>29</v>
      </c>
      <c r="H120" s="3" t="s">
        <v>505</v>
      </c>
      <c r="I120" s="3" t="s">
        <v>506</v>
      </c>
      <c r="J120" s="6" t="str">
        <f>IF(ISBLANK(Tableau1[[#This Row],[courriel]]), "", HYPERLINK(_xlfn.CONCAT("https://teams.microsoft.com/l/chat/0/0?users=",Tableau1[[#This Row],[courriel]])))</f>
        <v>https://teams.microsoft.com/l/chat/0/0?users=valerie.rioux.3@umontreal.ca</v>
      </c>
    </row>
    <row r="121" spans="1:10" x14ac:dyDescent="0.3">
      <c r="A121" t="s">
        <v>710</v>
      </c>
      <c r="B121" t="s">
        <v>122</v>
      </c>
      <c r="C121" s="5"/>
      <c r="D121" t="s">
        <v>719</v>
      </c>
      <c r="E121" s="5" t="s">
        <v>76</v>
      </c>
      <c r="G121" t="s">
        <v>77</v>
      </c>
      <c r="H121" t="s">
        <v>711</v>
      </c>
      <c r="I121" s="6" t="s">
        <v>712</v>
      </c>
      <c r="J121" s="8" t="str">
        <f>IF(ISBLANK(Tableau1[[#This Row],[courriel]]), "", HYPERLINK(_xlfn.CONCAT("https://teams.microsoft.com/l/chat/0/0?users=",Tableau1[[#This Row],[courriel]])))</f>
        <v>https://teams.microsoft.com/l/chat/0/0?users=eric.romano@umontreal.ca</v>
      </c>
    </row>
    <row r="122" spans="1:10" x14ac:dyDescent="0.3">
      <c r="A122" s="16" t="s">
        <v>758</v>
      </c>
      <c r="B122" s="16" t="s">
        <v>759</v>
      </c>
      <c r="C122" s="17"/>
      <c r="D122" s="16" t="s">
        <v>13</v>
      </c>
      <c r="E122" s="17"/>
      <c r="F122" s="18" t="s">
        <v>760</v>
      </c>
      <c r="G122" s="16" t="s">
        <v>403</v>
      </c>
      <c r="H122" s="16" t="s">
        <v>756</v>
      </c>
      <c r="I122" s="6" t="s">
        <v>761</v>
      </c>
      <c r="J122" s="8" t="str">
        <f>IF(ISBLANK(Tableau1[[#This Row],[courriel]]), "", HYPERLINK(_xlfn.CONCAT("https://teams.microsoft.com/l/chat/0/0?users=",Tableau1[[#This Row],[courriel]])))</f>
        <v>https://teams.microsoft.com/l/chat/0/0?users=oscar.salazar.varela@umontreal.ca</v>
      </c>
    </row>
    <row r="123" spans="1:10" x14ac:dyDescent="0.3">
      <c r="A123" s="5" t="s">
        <v>507</v>
      </c>
      <c r="B123" s="5" t="s">
        <v>406</v>
      </c>
      <c r="C123" s="5" t="s">
        <v>508</v>
      </c>
      <c r="D123" s="5" t="s">
        <v>678</v>
      </c>
      <c r="E123" s="5" t="s">
        <v>76</v>
      </c>
      <c r="F123" s="5"/>
      <c r="H123" s="3" t="s">
        <v>112</v>
      </c>
      <c r="I123" s="14" t="s">
        <v>509</v>
      </c>
      <c r="J123" s="6" t="str">
        <f>IF(ISBLANK(Tableau1[[#This Row],[courriel]]), "", HYPERLINK(_xlfn.CONCAT("https://teams.microsoft.com/l/chat/0/0?users=",Tableau1[[#This Row],[courriel]])))</f>
        <v>https://teams.microsoft.com/l/chat/0/0?users=m.sevigny@umontreal.ca</v>
      </c>
    </row>
    <row r="124" spans="1:10" x14ac:dyDescent="0.3">
      <c r="A124" s="5" t="s">
        <v>510</v>
      </c>
      <c r="B124" s="5" t="s">
        <v>511</v>
      </c>
      <c r="C124" s="5" t="s">
        <v>600</v>
      </c>
      <c r="D124" s="5" t="s">
        <v>13</v>
      </c>
      <c r="E124" s="5"/>
      <c r="F124" s="5" t="s">
        <v>512</v>
      </c>
      <c r="G124" s="5" t="s">
        <v>154</v>
      </c>
      <c r="H124" s="3"/>
      <c r="I124" s="3" t="s">
        <v>513</v>
      </c>
      <c r="J124" s="6" t="str">
        <f>IF(ISBLANK(Tableau1[[#This Row],[courriel]]), "", HYPERLINK(_xlfn.CONCAT("https://teams.microsoft.com/l/chat/0/0?users=",Tableau1[[#This Row],[courriel]])))</f>
        <v>https://teams.microsoft.com/l/chat/0/0?users=chloe.sinotte@umontreal.ca</v>
      </c>
    </row>
    <row r="125" spans="1:10" x14ac:dyDescent="0.3">
      <c r="A125" t="s">
        <v>514</v>
      </c>
      <c r="B125" t="s">
        <v>515</v>
      </c>
      <c r="C125" t="s">
        <v>595</v>
      </c>
      <c r="D125" s="3" t="s">
        <v>673</v>
      </c>
      <c r="E125" s="5"/>
      <c r="F125" s="5"/>
      <c r="G125" t="s">
        <v>29</v>
      </c>
      <c r="J125" s="6" t="str">
        <f>IF(ISBLANK(Tableau1[[#This Row],[courriel]]), "", HYPERLINK(_xlfn.CONCAT("https://teams.microsoft.com/l/chat/0/0?users=",Tableau1[[#This Row],[courriel]])))</f>
        <v/>
      </c>
    </row>
    <row r="126" spans="1:10" x14ac:dyDescent="0.3">
      <c r="A126" s="3" t="s">
        <v>516</v>
      </c>
      <c r="B126" s="3" t="s">
        <v>19</v>
      </c>
      <c r="C126" s="13" t="s">
        <v>517</v>
      </c>
      <c r="D126" s="3" t="s">
        <v>27</v>
      </c>
      <c r="E126" s="3"/>
      <c r="F126" s="3" t="s">
        <v>518</v>
      </c>
      <c r="G126" s="3" t="s">
        <v>519</v>
      </c>
      <c r="H126" s="3" t="s">
        <v>520</v>
      </c>
      <c r="I126" s="3" t="s">
        <v>521</v>
      </c>
      <c r="J126" s="6" t="str">
        <f>IF(ISBLANK(Tableau1[[#This Row],[courriel]]), "", HYPERLINK(_xlfn.CONCAT("https://teams.microsoft.com/l/chat/0/0?users=",Tableau1[[#This Row],[courriel]])))</f>
        <v>https://teams.microsoft.com/l/chat/0/0?users=viviane.st-arnaud@umontreal.ca</v>
      </c>
    </row>
    <row r="127" spans="1:10" x14ac:dyDescent="0.3">
      <c r="A127" s="3" t="s">
        <v>522</v>
      </c>
      <c r="B127" s="3" t="s">
        <v>235</v>
      </c>
      <c r="C127" s="3"/>
      <c r="D127" s="3" t="s">
        <v>673</v>
      </c>
      <c r="E127" s="3" t="s">
        <v>536</v>
      </c>
      <c r="F127" s="3"/>
      <c r="G127" s="3" t="s">
        <v>748</v>
      </c>
      <c r="H127" s="3" t="s">
        <v>523</v>
      </c>
      <c r="I127" s="3" t="s">
        <v>524</v>
      </c>
      <c r="J127" s="6" t="str">
        <f>IF(ISBLANK(Tableau1[[#This Row],[courriel]]), "", HYPERLINK(_xlfn.CONCAT("https://teams.microsoft.com/l/chat/0/0?users=",Tableau1[[#This Row],[courriel]])))</f>
        <v>https://teams.microsoft.com/l/chat/0/0?users=chantal.taillon@umontreal.ca</v>
      </c>
    </row>
    <row r="128" spans="1:10" x14ac:dyDescent="0.3">
      <c r="A128" s="5" t="s">
        <v>525</v>
      </c>
      <c r="B128" s="5" t="s">
        <v>526</v>
      </c>
      <c r="C128" s="5" t="s">
        <v>527</v>
      </c>
      <c r="D128" s="5" t="s">
        <v>677</v>
      </c>
      <c r="E128" s="5" t="s">
        <v>76</v>
      </c>
      <c r="G128" s="5" t="s">
        <v>305</v>
      </c>
      <c r="H128" s="5" t="s">
        <v>528</v>
      </c>
      <c r="I128" s="14" t="s">
        <v>529</v>
      </c>
      <c r="J128" s="6" t="str">
        <f>IF(ISBLANK(Tableau1[[#This Row],[courriel]]), "", HYPERLINK(_xlfn.CONCAT("https://teams.microsoft.com/l/chat/0/0?users=",Tableau1[[#This Row],[courriel]])))</f>
        <v>https://teams.microsoft.com/l/chat/0/0?users=mathieu.nicolas.tardif@umontreal.ca</v>
      </c>
    </row>
    <row r="129" spans="1:10" x14ac:dyDescent="0.3">
      <c r="A129" t="s">
        <v>638</v>
      </c>
      <c r="B129" t="s">
        <v>560</v>
      </c>
      <c r="C129" s="5" t="s">
        <v>641</v>
      </c>
      <c r="D129" s="5" t="s">
        <v>672</v>
      </c>
      <c r="E129" s="5"/>
      <c r="F129" s="3"/>
      <c r="G129" t="s">
        <v>519</v>
      </c>
      <c r="H129" t="s">
        <v>639</v>
      </c>
      <c r="I129" s="6" t="s">
        <v>640</v>
      </c>
      <c r="J129" s="6" t="str">
        <f>IF(ISBLANK(Tableau1[[#This Row],[courriel]]), "", HYPERLINK(_xlfn.CONCAT("https://teams.microsoft.com/l/chat/0/0?users=",Tableau1[[#This Row],[courriel]])))</f>
        <v>https://teams.microsoft.com/l/chat/0/0?users=nancy.theberge.2@umontreal.ca</v>
      </c>
    </row>
    <row r="130" spans="1:10" x14ac:dyDescent="0.3">
      <c r="A130" s="5" t="s">
        <v>530</v>
      </c>
      <c r="B130" s="5" t="s">
        <v>531</v>
      </c>
      <c r="C130" s="5" t="s">
        <v>608</v>
      </c>
      <c r="D130" s="5" t="s">
        <v>672</v>
      </c>
      <c r="E130" s="5"/>
      <c r="F130" s="5"/>
      <c r="G130" s="5" t="s">
        <v>418</v>
      </c>
      <c r="H130" s="5" t="s">
        <v>733</v>
      </c>
      <c r="I130" s="6" t="s">
        <v>532</v>
      </c>
      <c r="J130" s="6" t="str">
        <f>IF(ISBLANK(Tableau1[[#This Row],[courriel]]), "", HYPERLINK(_xlfn.CONCAT("https://teams.microsoft.com/l/chat/0/0?users=",Tableau1[[#This Row],[courriel]])))</f>
        <v>https://teams.microsoft.com/l/chat/0/0?users=karine.theriault-dube@umontreal.ca</v>
      </c>
    </row>
    <row r="131" spans="1:10" x14ac:dyDescent="0.3">
      <c r="A131" s="3" t="s">
        <v>533</v>
      </c>
      <c r="B131" s="3" t="s">
        <v>534</v>
      </c>
      <c r="C131" s="5" t="s">
        <v>535</v>
      </c>
      <c r="D131" s="3" t="s">
        <v>266</v>
      </c>
      <c r="E131" t="s">
        <v>536</v>
      </c>
      <c r="F131" s="3" t="s">
        <v>537</v>
      </c>
      <c r="G131" s="3" t="s">
        <v>589</v>
      </c>
      <c r="H131" s="3" t="s">
        <v>538</v>
      </c>
      <c r="I131" s="14" t="s">
        <v>539</v>
      </c>
      <c r="J131" s="6" t="str">
        <f>IF(ISBLANK(Tableau1[[#This Row],[courriel]]), "", HYPERLINK(_xlfn.CONCAT("https://teams.microsoft.com/l/chat/0/0?users=",Tableau1[[#This Row],[courriel]])))</f>
        <v>https://teams.microsoft.com/l/chat/0/0?users=mylene.therrien@umontreal.ca</v>
      </c>
    </row>
    <row r="132" spans="1:10" x14ac:dyDescent="0.3">
      <c r="A132" s="5" t="s">
        <v>540</v>
      </c>
      <c r="B132" s="5" t="s">
        <v>442</v>
      </c>
      <c r="C132" s="5" t="s">
        <v>541</v>
      </c>
      <c r="D132" s="5" t="s">
        <v>27</v>
      </c>
      <c r="E132" s="5"/>
      <c r="F132" s="5" t="s">
        <v>124</v>
      </c>
      <c r="G132" s="5" t="s">
        <v>125</v>
      </c>
      <c r="H132" s="5" t="s">
        <v>542</v>
      </c>
      <c r="I132" s="14" t="s">
        <v>543</v>
      </c>
      <c r="J132" s="6" t="str">
        <f>IF(ISBLANK(Tableau1[[#This Row],[courriel]]), "", HYPERLINK(_xlfn.CONCAT("https://teams.microsoft.com/l/chat/0/0?users=",Tableau1[[#This Row],[courriel]])))</f>
        <v>https://teams.microsoft.com/l/chat/0/0?users=m.thomas@umontreal.ca</v>
      </c>
    </row>
    <row r="133" spans="1:10" x14ac:dyDescent="0.3">
      <c r="A133" s="5" t="s">
        <v>544</v>
      </c>
      <c r="B133" s="5" t="s">
        <v>545</v>
      </c>
      <c r="C133" s="5" t="s">
        <v>621</v>
      </c>
      <c r="D133" s="5" t="s">
        <v>672</v>
      </c>
      <c r="E133" s="5"/>
      <c r="F133" s="5"/>
      <c r="G133" s="5" t="s">
        <v>418</v>
      </c>
      <c r="H133" t="s">
        <v>546</v>
      </c>
      <c r="I133" s="6" t="s">
        <v>547</v>
      </c>
      <c r="J133" s="6" t="str">
        <f>IF(ISBLANK(Tableau1[[#This Row],[courriel]]), "", HYPERLINK(_xlfn.CONCAT("https://teams.microsoft.com/l/chat/0/0?users=",Tableau1[[#This Row],[courriel]])))</f>
        <v>https://teams.microsoft.com/l/chat/0/0?users=ly.kieng.tir@umontreal.ca</v>
      </c>
    </row>
    <row r="134" spans="1:10" x14ac:dyDescent="0.3">
      <c r="A134" s="5" t="s">
        <v>548</v>
      </c>
      <c r="B134" s="5" t="s">
        <v>549</v>
      </c>
      <c r="C134" s="5" t="s">
        <v>599</v>
      </c>
      <c r="D134" s="5" t="s">
        <v>101</v>
      </c>
      <c r="E134" s="5"/>
      <c r="F134" s="5" t="s">
        <v>550</v>
      </c>
      <c r="G134" s="5" t="s">
        <v>218</v>
      </c>
      <c r="H134" s="5" t="s">
        <v>551</v>
      </c>
      <c r="I134" s="14" t="s">
        <v>552</v>
      </c>
      <c r="J134" s="6" t="str">
        <f>IF(ISBLANK(Tableau1[[#This Row],[courriel]]), "", HYPERLINK(_xlfn.CONCAT("https://teams.microsoft.com/l/chat/0/0?users=",Tableau1[[#This Row],[courriel]])))</f>
        <v>https://teams.microsoft.com/l/chat/0/0?users=juliette.tirard-collet@umontreal.ca</v>
      </c>
    </row>
    <row r="135" spans="1:10" x14ac:dyDescent="0.3">
      <c r="A135" t="s">
        <v>553</v>
      </c>
      <c r="B135" t="s">
        <v>556</v>
      </c>
      <c r="D135" s="5" t="s">
        <v>672</v>
      </c>
      <c r="G135" t="s">
        <v>284</v>
      </c>
      <c r="H135" s="5" t="s">
        <v>557</v>
      </c>
      <c r="I135" s="6" t="s">
        <v>558</v>
      </c>
      <c r="J135" s="6" t="str">
        <f>IF(ISBLANK(Tableau1[[#This Row],[courriel]]), "", HYPERLINK(_xlfn.CONCAT("https://teams.microsoft.com/l/chat/0/0?users=",Tableau1[[#This Row],[courriel]])))</f>
        <v>https://teams.microsoft.com/l/chat/0/0?users=anne-julie.tremblay.2@umontreal.ca</v>
      </c>
    </row>
    <row r="136" spans="1:10" x14ac:dyDescent="0.3">
      <c r="A136" s="5" t="s">
        <v>553</v>
      </c>
      <c r="B136" s="5" t="s">
        <v>554</v>
      </c>
      <c r="C136" s="5" t="s">
        <v>601</v>
      </c>
      <c r="D136" s="5" t="s">
        <v>672</v>
      </c>
      <c r="E136" s="5"/>
      <c r="F136" s="5"/>
      <c r="G136" s="5" t="s">
        <v>403</v>
      </c>
      <c r="H136" s="5" t="s">
        <v>404</v>
      </c>
      <c r="I136" s="6" t="s">
        <v>555</v>
      </c>
      <c r="J136" s="6" t="str">
        <f>IF(ISBLANK(Tableau1[[#This Row],[courriel]]), "", HYPERLINK(_xlfn.CONCAT("https://teams.microsoft.com/l/chat/0/0?users=",Tableau1[[#This Row],[courriel]])))</f>
        <v>https://teams.microsoft.com/l/chat/0/0?users=frederic.tremblay.1@umontreal.ca</v>
      </c>
    </row>
    <row r="137" spans="1:10" x14ac:dyDescent="0.3">
      <c r="A137" t="s">
        <v>579</v>
      </c>
      <c r="B137" t="s">
        <v>460</v>
      </c>
      <c r="C137" s="5" t="s">
        <v>620</v>
      </c>
      <c r="D137" s="5" t="s">
        <v>677</v>
      </c>
      <c r="E137" s="5" t="s">
        <v>536</v>
      </c>
      <c r="F137" t="s">
        <v>379</v>
      </c>
      <c r="G137" t="s">
        <v>591</v>
      </c>
      <c r="H137" t="s">
        <v>580</v>
      </c>
      <c r="I137" s="6" t="s">
        <v>581</v>
      </c>
      <c r="J137" s="6" t="str">
        <f>IF(ISBLANK(Tableau1[[#This Row],[courriel]]), "", HYPERLINK(_xlfn.CONCAT("https://teams.microsoft.com/l/chat/0/0?users=",Tableau1[[#This Row],[courriel]])))</f>
        <v>https://teams.microsoft.com/l/chat/0/0?users=j.trepanier@umontreal.ca</v>
      </c>
    </row>
    <row r="138" spans="1:10" x14ac:dyDescent="0.3">
      <c r="A138" s="5" t="s">
        <v>559</v>
      </c>
      <c r="B138" s="5" t="s">
        <v>560</v>
      </c>
      <c r="C138" s="5"/>
      <c r="D138" s="5" t="s">
        <v>672</v>
      </c>
      <c r="E138" s="5"/>
      <c r="F138" s="5"/>
      <c r="G138" s="5" t="s">
        <v>52</v>
      </c>
      <c r="H138" s="5" t="s">
        <v>561</v>
      </c>
      <c r="I138" s="6" t="s">
        <v>562</v>
      </c>
      <c r="J138" s="6" t="str">
        <f>IF(ISBLANK(Tableau1[[#This Row],[courriel]]), "", HYPERLINK(_xlfn.CONCAT("https://teams.microsoft.com/l/chat/0/0?users=",Tableau1[[#This Row],[courriel]])))</f>
        <v>https://teams.microsoft.com/l/chat/0/0?users=nancy.turgeon@umontreal.ca</v>
      </c>
    </row>
    <row r="139" spans="1:10" x14ac:dyDescent="0.3">
      <c r="A139" s="5" t="s">
        <v>563</v>
      </c>
      <c r="B139" s="5" t="s">
        <v>564</v>
      </c>
      <c r="C139" s="5" t="s">
        <v>584</v>
      </c>
      <c r="D139" s="5" t="s">
        <v>672</v>
      </c>
      <c r="E139" s="5"/>
      <c r="F139" s="5"/>
      <c r="G139" s="5" t="s">
        <v>29</v>
      </c>
      <c r="H139" s="5" t="s">
        <v>565</v>
      </c>
      <c r="I139" s="6" t="s">
        <v>566</v>
      </c>
      <c r="J139" s="6" t="str">
        <f>IF(ISBLANK(Tableau1[[#This Row],[courriel]]), "", HYPERLINK(_xlfn.CONCAT("https://teams.microsoft.com/l/chat/0/0?users=",Tableau1[[#This Row],[courriel]])))</f>
        <v>https://teams.microsoft.com/l/chat/0/0?users=josee.vachon.1@umontreal.ca</v>
      </c>
    </row>
    <row r="140" spans="1:10" x14ac:dyDescent="0.3">
      <c r="A140" s="5" t="s">
        <v>567</v>
      </c>
      <c r="B140" s="5" t="s">
        <v>568</v>
      </c>
      <c r="C140" s="5" t="s">
        <v>610</v>
      </c>
      <c r="D140" s="5" t="s">
        <v>672</v>
      </c>
      <c r="E140" s="5"/>
      <c r="F140" s="5"/>
      <c r="G140" s="5" t="s">
        <v>52</v>
      </c>
      <c r="H140" s="5" t="s">
        <v>569</v>
      </c>
      <c r="I140" s="6" t="s">
        <v>570</v>
      </c>
      <c r="J140" s="6" t="str">
        <f>IF(ISBLANK(Tableau1[[#This Row],[courriel]]), "", HYPERLINK(_xlfn.CONCAT("https://teams.microsoft.com/l/chat/0/0?users=",Tableau1[[#This Row],[courriel]])))</f>
        <v>https://teams.microsoft.com/l/chat/0/0?users=yan.vallee@umontreal.ca</v>
      </c>
    </row>
    <row r="141" spans="1:10" x14ac:dyDescent="0.3">
      <c r="A141" t="s">
        <v>707</v>
      </c>
      <c r="B141" t="s">
        <v>708</v>
      </c>
      <c r="C141" s="5" t="s">
        <v>720</v>
      </c>
      <c r="D141" t="s">
        <v>719</v>
      </c>
      <c r="E141" s="5" t="s">
        <v>76</v>
      </c>
      <c r="G141" t="s">
        <v>77</v>
      </c>
      <c r="I141" s="6" t="s">
        <v>709</v>
      </c>
      <c r="J141" s="8" t="str">
        <f>IF(ISBLANK(Tableau1[[#This Row],[courriel]]), "", HYPERLINK(_xlfn.CONCAT("https://teams.microsoft.com/l/chat/0/0?users=",Tableau1[[#This Row],[courriel]])))</f>
        <v>https://teams.microsoft.com/l/chat/0/0?users=guillaume.viart@umontreal.ca</v>
      </c>
    </row>
    <row r="142" spans="1:10" x14ac:dyDescent="0.3">
      <c r="A142" s="5" t="s">
        <v>571</v>
      </c>
      <c r="B142" s="5" t="s">
        <v>564</v>
      </c>
      <c r="C142" s="5" t="s">
        <v>618</v>
      </c>
      <c r="D142" s="5" t="s">
        <v>672</v>
      </c>
      <c r="E142" s="5"/>
      <c r="F142" s="5"/>
      <c r="G142" s="5" t="s">
        <v>87</v>
      </c>
      <c r="H142" s="5" t="s">
        <v>572</v>
      </c>
      <c r="I142" s="6" t="s">
        <v>573</v>
      </c>
      <c r="J142" s="6" t="str">
        <f>IF(ISBLANK(Tableau1[[#This Row],[courriel]]), "", HYPERLINK(_xlfn.CONCAT("https://teams.microsoft.com/l/chat/0/0?users=",Tableau1[[#This Row],[courriel]])))</f>
        <v>https://teams.microsoft.com/l/chat/0/0?users=josee.viel@umontreal.ca</v>
      </c>
    </row>
    <row r="143" spans="1:10" x14ac:dyDescent="0.3">
      <c r="A143" s="5" t="s">
        <v>574</v>
      </c>
      <c r="B143" s="5" t="s">
        <v>210</v>
      </c>
      <c r="C143" s="5"/>
      <c r="D143" s="5" t="s">
        <v>27</v>
      </c>
      <c r="E143" s="5" t="s">
        <v>69</v>
      </c>
      <c r="F143" s="5" t="s">
        <v>742</v>
      </c>
      <c r="G143" t="s">
        <v>424</v>
      </c>
      <c r="H143" s="5" t="s">
        <v>439</v>
      </c>
      <c r="I143" s="14" t="s">
        <v>575</v>
      </c>
      <c r="J143" s="6" t="str">
        <f>IF(ISBLANK(Tableau1[[#This Row],[courriel]]), "", HYPERLINK(_xlfn.CONCAT("https://teams.microsoft.com/l/chat/0/0?users=",Tableau1[[#This Row],[courriel]])))</f>
        <v>https://teams.microsoft.com/l/chat/0/0?users=emilie.walsh@umontreal.ca</v>
      </c>
    </row>
    <row r="144" spans="1:10" x14ac:dyDescent="0.3">
      <c r="A144" s="5" t="s">
        <v>657</v>
      </c>
      <c r="B144" s="5" t="s">
        <v>658</v>
      </c>
      <c r="C144" s="5"/>
      <c r="D144" s="5" t="s">
        <v>680</v>
      </c>
      <c r="E144" s="5" t="s">
        <v>76</v>
      </c>
      <c r="F144" s="5"/>
      <c r="G144" s="5" t="s">
        <v>76</v>
      </c>
      <c r="H144" s="5" t="s">
        <v>659</v>
      </c>
      <c r="I144" s="6" t="s">
        <v>660</v>
      </c>
      <c r="J144" s="8" t="str">
        <f>IF(ISBLANK(Tableau1[[#This Row],[courriel]]), "", HYPERLINK(_xlfn.CONCAT("https://teams.microsoft.com/l/chat/0/0?users=",Tableau1[[#This Row],[courriel]])))</f>
        <v>https://teams.microsoft.com/l/chat/0/0?users=sosthene.yamale@umontreal.ca</v>
      </c>
    </row>
  </sheetData>
  <phoneticPr fontId="9" type="noConversion"/>
  <hyperlinks>
    <hyperlink ref="I13" r:id="rId1" display="mailto:audrey.begin-poissant@umontreal.ca" xr:uid="{708FEBAC-F938-40E8-8D55-B34C4326210F}"/>
    <hyperlink ref="I36" r:id="rId2" display="mailto:delphine.cado@umontreal.ca" xr:uid="{0E0BF38D-BCA7-4652-84E3-BBE8A015792A}"/>
    <hyperlink ref="I19" r:id="rId3" display="mailto:hugo.bernier@umontreal.ca" xr:uid="{3F591457-DA50-462E-B1CA-F2F56ED9E3DD}"/>
    <hyperlink ref="I79" r:id="rId4" xr:uid="{4822C834-E5A8-42FD-9734-374BFC718C85}"/>
    <hyperlink ref="I11" r:id="rId5" display="mailto:magalie.beaudoin@umontreal.ca" xr:uid="{2D976BF0-B68A-46E5-8412-BA8BC43FD26D}"/>
    <hyperlink ref="I113" r:id="rId6" display="mailto:mathieu.pigeon@umontreal.ca" xr:uid="{F73DFC6E-4D6D-42F3-84C0-454956AEC7E8}"/>
    <hyperlink ref="I6" r:id="rId7" display="mailto:nadege.arsa@bib.umontreal.ca" xr:uid="{408AF5A3-35ED-4BF5-92B9-1B21C0C475D9}"/>
    <hyperlink ref="I22" r:id="rId8" display="mailto:simon.blais.longtin@umontreal.ca" xr:uid="{EA917AC7-9087-435B-A6E7-3AE1885514AA}"/>
    <hyperlink ref="I96" r:id="rId9" xr:uid="{8ABC26E9-CF81-491C-8A28-B209E6620D2A}"/>
    <hyperlink ref="I139" r:id="rId10" xr:uid="{B455CC78-8572-42C6-950F-67FBEC488BBE}"/>
    <hyperlink ref="I39" r:id="rId11" xr:uid="{7D21070C-9A14-48DF-982E-D995A034BDAD}"/>
    <hyperlink ref="I135" r:id="rId12" xr:uid="{0C92A93F-14B9-4EBD-9C0E-42EDAA49F3AB}"/>
    <hyperlink ref="I77" r:id="rId13" xr:uid="{DCABBE8B-8789-4957-9A88-F8585AD53BBC}"/>
    <hyperlink ref="I116" r:id="rId14" xr:uid="{C37D08E3-EE29-4008-958D-7BCCC40EBCA4}"/>
    <hyperlink ref="I53" r:id="rId15" xr:uid="{1383A46C-5C1D-4621-B4BC-67AD012D7CF5}"/>
    <hyperlink ref="I85" r:id="rId16" xr:uid="{29D9619F-F3A7-41E8-AE0F-DEBBF802D53A}"/>
    <hyperlink ref="I34" r:id="rId17" xr:uid="{9E8CD31B-437A-49A0-BA12-85176E0D9431}"/>
    <hyperlink ref="I118" r:id="rId18" xr:uid="{D112D4D2-EACF-41EC-8833-0BCADA67F58D}"/>
    <hyperlink ref="I80" r:id="rId19" xr:uid="{3B502B79-2DDE-44A3-908B-3CB04ED1101E}"/>
    <hyperlink ref="I20" r:id="rId20" xr:uid="{BAE0697B-7739-4A42-9702-C285F03D0F77}"/>
    <hyperlink ref="I56" r:id="rId21" xr:uid="{E1BC7B04-B072-447B-9137-59A28141883D}"/>
    <hyperlink ref="I109" r:id="rId22" xr:uid="{BEDF45F1-312C-4FF5-B4F5-1D1C7E487C0A}"/>
    <hyperlink ref="I68" r:id="rId23" xr:uid="{6E82D57D-36A4-4928-AD91-BE73FFC7C389}"/>
    <hyperlink ref="I87" r:id="rId24" xr:uid="{278FDD6D-245D-42BB-9DC6-1D47D17CC5FD}"/>
    <hyperlink ref="I104" r:id="rId25" xr:uid="{5BCD15FE-E90C-4C6C-864A-F66215BE8839}"/>
    <hyperlink ref="I136" r:id="rId26" xr:uid="{FDD0DDC4-7A67-4339-BDFC-3AA7CBFB9040}"/>
    <hyperlink ref="I94" r:id="rId27" xr:uid="{6C259D22-E49F-4548-B971-5B79C0A1D1A3}"/>
    <hyperlink ref="I95" r:id="rId28" xr:uid="{7328D0A7-0B9F-4556-BBCF-C84267E93A32}"/>
    <hyperlink ref="I100" r:id="rId29" xr:uid="{7F7A355D-E6B8-443A-AF2B-0A53F4B15B21}"/>
    <hyperlink ref="I115" r:id="rId30" xr:uid="{3078ED0B-307C-47F2-B4E5-65F31B4FF7CB}"/>
    <hyperlink ref="I130" r:id="rId31" xr:uid="{1A3BB298-F78B-474C-A8E7-739C762F9819}"/>
    <hyperlink ref="I133" r:id="rId32" xr:uid="{9037CA9B-E8A7-4F4D-8F0A-7DD7E74AD41B}"/>
    <hyperlink ref="I138" r:id="rId33" xr:uid="{B083C43A-D8A2-4E8E-9E8A-BDC13AA93D54}"/>
    <hyperlink ref="I140" r:id="rId34" xr:uid="{A0852ED6-2CA4-4FFA-94EF-8EB908CD7BEB}"/>
    <hyperlink ref="I142" r:id="rId35" xr:uid="{00BAEA16-152E-416E-A034-87CB2800061D}"/>
    <hyperlink ref="I18" r:id="rId36" xr:uid="{E26D4CB1-6F14-4277-AD54-18A052872B6B}"/>
    <hyperlink ref="I137" r:id="rId37" xr:uid="{37C73F8E-25A1-477F-AA74-E9785B7E918A}"/>
    <hyperlink ref="I41" r:id="rId38" xr:uid="{902A8808-023C-4EA1-833E-F687288B12ED}"/>
    <hyperlink ref="I129" r:id="rId39" xr:uid="{0F562F25-AF6E-412E-962D-4CACCF0BD4F0}"/>
    <hyperlink ref="I119" r:id="rId40" xr:uid="{349E580E-212A-42D9-8F7B-BDF3DFB61650}"/>
    <hyperlink ref="I55" r:id="rId41" xr:uid="{ABEB73EB-E336-4619-ADE1-0AE567E81306}"/>
    <hyperlink ref="I33" r:id="rId42" xr:uid="{E819F1D0-ED89-4281-B222-20D0A6AC8A49}"/>
    <hyperlink ref="I144" r:id="rId43" xr:uid="{EDD92A66-A56B-419B-967E-B8D761D72C58}"/>
    <hyperlink ref="I21" r:id="rId44" xr:uid="{A4113BC8-FD33-4D47-854C-D964ED926E7F}"/>
    <hyperlink ref="I117" r:id="rId45" xr:uid="{0924E3CD-F2EB-4646-BC88-767228D5A8FD}"/>
    <hyperlink ref="I78" r:id="rId46" xr:uid="{FAC375AB-8F54-402B-A4F5-618AA479650B}"/>
    <hyperlink ref="I5" r:id="rId47" xr:uid="{12EFBBCC-308A-4E41-92F6-4E78BB9E9458}"/>
    <hyperlink ref="I23" r:id="rId48" xr:uid="{CAA07608-BC3B-468C-819E-F94EE0396C78}"/>
    <hyperlink ref="I141" r:id="rId49" xr:uid="{B3DF72B2-3730-4A9C-8195-E5B8FCD87C3B}"/>
    <hyperlink ref="I121" r:id="rId50" xr:uid="{518A2404-8625-4373-BDE5-E73718B1440B}"/>
    <hyperlink ref="I35" r:id="rId51" xr:uid="{B383F9BF-E7F0-4AFA-A217-1F3A922E55BA}"/>
    <hyperlink ref="I143" r:id="rId52" xr:uid="{D2BBF900-A9C8-4032-A387-C01245244DE0}"/>
    <hyperlink ref="I54" r:id="rId53" xr:uid="{79C702A2-295C-4D37-BA6F-DD2C408C75BD}"/>
    <hyperlink ref="I25" r:id="rId54" xr:uid="{761F418D-12C5-4F41-8071-6031B8FBF83B}"/>
    <hyperlink ref="I108" r:id="rId55" xr:uid="{C91A1DE6-A8FA-4481-9E51-1DB52F17F3CC}"/>
    <hyperlink ref="I134" r:id="rId56" xr:uid="{131478F3-61ED-4B04-9E66-6F771D0E53F1}"/>
    <hyperlink ref="I102" r:id="rId57" xr:uid="{C3534DCE-62CB-4016-B559-AE879ED29221}"/>
    <hyperlink ref="I75" r:id="rId58" xr:uid="{598291DC-2DD2-464C-A65A-36D0759E8852}"/>
    <hyperlink ref="I67" r:id="rId59" xr:uid="{55FAFEEC-7E6A-4254-BBB4-020FD859DB23}"/>
    <hyperlink ref="I106" r:id="rId60" xr:uid="{E35BC25D-CA56-4FFF-B93C-72EBCAD05C3B}"/>
    <hyperlink ref="I47" r:id="rId61" xr:uid="{6B64B7D5-5396-4382-9ECB-D065E5B3F7C4}"/>
    <hyperlink ref="I59" r:id="rId62" xr:uid="{A6C3CD82-A312-40D2-B320-33ED739C6E60}"/>
    <hyperlink ref="I89" r:id="rId63" xr:uid="{1754B384-2B8D-46A2-8C89-BDF617522295}"/>
    <hyperlink ref="I114" r:id="rId64" xr:uid="{99B099F4-5E98-4B25-B2EB-EE4C451DC6EE}"/>
    <hyperlink ref="I61" r:id="rId65" xr:uid="{1C080271-6DB7-4810-99C8-8FF2BA5EA430}"/>
    <hyperlink ref="I66" r:id="rId66" xr:uid="{6A0B0BD3-8872-437B-9CD4-6D8D7D98A4F9}"/>
    <hyperlink ref="I123" r:id="rId67" xr:uid="{CE8C2C5F-3292-4BA9-A27E-19AF9661C907}"/>
    <hyperlink ref="I12" r:id="rId68" xr:uid="{F1246003-4D15-4FC5-9F7D-6CE88CAF21A8}"/>
    <hyperlink ref="I132" r:id="rId69" xr:uid="{BB3A0149-0DD5-481B-8662-8134BB3FCECC}"/>
    <hyperlink ref="I128" r:id="rId70" xr:uid="{52D55C85-F393-43A8-95EF-F57618BB179E}"/>
    <hyperlink ref="I90" r:id="rId71" xr:uid="{CAB4CB00-83BC-4384-BF0E-208B7456F243}"/>
    <hyperlink ref="I98" r:id="rId72" xr:uid="{4B80B43B-B062-42B6-A1CE-F4CE03CDED46}"/>
    <hyperlink ref="I9" r:id="rId73" xr:uid="{BC76BE28-D367-49FE-95A3-98BB93483999}"/>
    <hyperlink ref="I49" r:id="rId74" xr:uid="{8598B756-3A70-45A7-ABB5-3EDBEF50BAF4}"/>
    <hyperlink ref="I131" r:id="rId75" xr:uid="{07544A5C-3F38-40A4-9945-4E56F5EFFCF4}"/>
    <hyperlink ref="I29" r:id="rId76" xr:uid="{C341566A-DC48-4D81-91C1-E1CD275F4D60}"/>
    <hyperlink ref="I14" r:id="rId77" xr:uid="{FAAE6B3B-3F31-452F-868E-B6C650D083E8}"/>
    <hyperlink ref="I83" r:id="rId78" xr:uid="{09E37274-D8A2-4A0B-832A-E187D6213477}"/>
    <hyperlink ref="I103" r:id="rId79" xr:uid="{89D21B16-595D-4AC9-BFE9-2C29DBC329A2}"/>
    <hyperlink ref="I31" r:id="rId80" xr:uid="{7233E394-0474-4122-B129-E1E8DB3D4B70}"/>
    <hyperlink ref="I16" r:id="rId81" xr:uid="{F64E5CF1-D633-420E-85EB-A653427CFFA9}"/>
    <hyperlink ref="I2" r:id="rId82" xr:uid="{A1D1A53D-8725-4952-BA49-53AC52751367}"/>
    <hyperlink ref="I122" r:id="rId83" xr:uid="{CD7A2471-03B3-4EC4-B721-7F20CCB2567B}"/>
  </hyperlinks>
  <pageMargins left="0.7" right="0.7" top="0.75" bottom="0.75" header="0.3" footer="0.3"/>
  <pageSetup orientation="portrait" r:id="rId84"/>
  <tableParts count="1">
    <tablePart r:id="rId8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5d7804-4d0b-4e60-9ce8-4dcaa1999ed1">
      <Terms xmlns="http://schemas.microsoft.com/office/infopath/2007/PartnerControls"/>
    </lcf76f155ced4ddcb4097134ff3c332f>
    <TaxCatchAll xmlns="9cb1c2f4-2737-4134-a1af-8acbe3d028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83367596A4B94585FCDD3502D89912" ma:contentTypeVersion="11" ma:contentTypeDescription="Crée un document." ma:contentTypeScope="" ma:versionID="4e4efa8c0f0f722bbfc4a6b86077b9b4">
  <xsd:schema xmlns:xsd="http://www.w3.org/2001/XMLSchema" xmlns:xs="http://www.w3.org/2001/XMLSchema" xmlns:p="http://schemas.microsoft.com/office/2006/metadata/properties" xmlns:ns2="7c5d7804-4d0b-4e60-9ce8-4dcaa1999ed1" xmlns:ns3="9cb1c2f4-2737-4134-a1af-8acbe3d02830" targetNamespace="http://schemas.microsoft.com/office/2006/metadata/properties" ma:root="true" ma:fieldsID="81c6aeae46cd0fb81a99420a9570330b" ns2:_="" ns3:_="">
    <xsd:import namespace="7c5d7804-4d0b-4e60-9ce8-4dcaa1999ed1"/>
    <xsd:import namespace="9cb1c2f4-2737-4134-a1af-8acbe3d028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d7804-4d0b-4e60-9ce8-4dcaa1999e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9954b022-e60c-4520-b4e3-cc3d5e4f16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1c2f4-2737-4134-a1af-8acbe3d0283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02f27a3-f2d0-4418-af07-5a803196a2ed}" ma:internalName="TaxCatchAll" ma:showField="CatchAllData" ma:web="9cb1c2f4-2737-4134-a1af-8acbe3d028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EF5B7A-066E-4CFA-AECB-2B495BA6263D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cb1c2f4-2737-4134-a1af-8acbe3d02830"/>
    <ds:schemaRef ds:uri="7c5d7804-4d0b-4e60-9ce8-4dcaa1999ed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CC2BCD-0310-4A3C-9E4B-6EFDEBA53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d7804-4d0b-4e60-9ce8-4dcaa1999ed1"/>
    <ds:schemaRef ds:uri="9cb1c2f4-2737-4134-a1af-8acbe3d028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47C807-31DC-4949-A88C-18B7D05A7D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Laurie-Anne Gignac</dc:creator>
  <cp:keywords/>
  <dc:description/>
  <cp:lastModifiedBy>Stéphanie Hainault</cp:lastModifiedBy>
  <cp:revision/>
  <dcterms:created xsi:type="dcterms:W3CDTF">2025-04-25T13:20:12Z</dcterms:created>
  <dcterms:modified xsi:type="dcterms:W3CDTF">2026-10-30T17:19:42Z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0x010100CC83367596A4B94585FCDD3502D89912</vt:lpwstr>
  </property>
  <property fmtid="{D5CDD505-2E9C-101B-9397-08002B2CF9AE}" pid="3" name="MediaServiceImageTags">
    <vt:lpwstr/>
  </property>
</Properties>
</file>